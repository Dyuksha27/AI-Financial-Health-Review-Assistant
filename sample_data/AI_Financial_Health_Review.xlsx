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uksha/Downloads/"/>
    </mc:Choice>
  </mc:AlternateContent>
  <xr:revisionPtr revIDLastSave="0" documentId="13_ncr:1_{1DBB0F72-1716-544B-B2C9-B1D0F5B748CB}" xr6:coauthVersionLast="36" xr6:coauthVersionMax="36" xr10:uidLastSave="{00000000-0000-0000-0000-000000000000}"/>
  <bookViews>
    <workbookView xWindow="9800" yWindow="500" windowWidth="18500" windowHeight="16080" xr2:uid="{D482EE87-C626-DD4A-8687-2AAD8692C8C8}"/>
  </bookViews>
  <sheets>
    <sheet name="Raw_Data" sheetId="1" r:id="rId1"/>
    <sheet name="Income_Statement" sheetId="2" r:id="rId2"/>
    <sheet name="Balance_Sheet" sheetId="3" r:id="rId3"/>
    <sheet name="Cash_Flow" sheetId="4" r:id="rId4"/>
    <sheet name="Analysis" sheetId="5" r:id="rId5"/>
    <sheet name="Findings" sheetId="6" r:id="rId6"/>
    <sheet name="DCF" sheetId="7" r:id="rId7"/>
    <sheet name="Company_Input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6" l="1"/>
  <c r="C10" i="6"/>
  <c r="E10" i="6" s="1"/>
  <c r="F10" i="6" s="1"/>
  <c r="D9" i="6"/>
  <c r="E9" i="6" s="1"/>
  <c r="F9" i="6" s="1"/>
  <c r="C9" i="6"/>
  <c r="D8" i="6"/>
  <c r="E8" i="6" s="1"/>
  <c r="F8" i="6" s="1"/>
  <c r="C8" i="6"/>
  <c r="C7" i="6"/>
  <c r="E6" i="6"/>
  <c r="F6" i="6" s="1"/>
  <c r="D6" i="6"/>
  <c r="C6" i="6"/>
  <c r="D5" i="6"/>
  <c r="C5" i="6"/>
  <c r="D4" i="6"/>
  <c r="C4" i="6"/>
  <c r="E4" i="6" s="1"/>
  <c r="F4" i="6" s="1"/>
  <c r="D3" i="6"/>
  <c r="C3" i="6"/>
  <c r="E3" i="6" s="1"/>
  <c r="F3" i="6" s="1"/>
  <c r="C23" i="5"/>
  <c r="D23" i="5"/>
  <c r="E23" i="5"/>
  <c r="F23" i="5"/>
  <c r="C22" i="5"/>
  <c r="D22" i="5"/>
  <c r="E22" i="5"/>
  <c r="F22" i="5"/>
  <c r="C4" i="5"/>
  <c r="C3" i="5"/>
  <c r="B23" i="5"/>
  <c r="B22" i="5"/>
  <c r="C20" i="5"/>
  <c r="D20" i="5"/>
  <c r="E20" i="5"/>
  <c r="F20" i="5"/>
  <c r="B20" i="5"/>
  <c r="C21" i="5"/>
  <c r="D21" i="5"/>
  <c r="E21" i="5"/>
  <c r="D19" i="5"/>
  <c r="E19" i="5"/>
  <c r="F19" i="5"/>
  <c r="C19" i="5"/>
  <c r="D18" i="5"/>
  <c r="E18" i="5"/>
  <c r="F18" i="5"/>
  <c r="C18" i="5"/>
  <c r="C16" i="5"/>
  <c r="D16" i="5"/>
  <c r="E16" i="5"/>
  <c r="F16" i="5"/>
  <c r="B16" i="5"/>
  <c r="C11" i="5"/>
  <c r="D11" i="5"/>
  <c r="D13" i="5" s="1"/>
  <c r="E11" i="5"/>
  <c r="F11" i="5"/>
  <c r="F12" i="5" s="1"/>
  <c r="B11" i="5"/>
  <c r="B14" i="5" s="1"/>
  <c r="D17" i="5"/>
  <c r="E17" i="5"/>
  <c r="F17" i="5"/>
  <c r="C17" i="5"/>
  <c r="D14" i="5"/>
  <c r="D15" i="5" s="1"/>
  <c r="E12" i="5"/>
  <c r="C14" i="5"/>
  <c r="C10" i="5"/>
  <c r="D10" i="5"/>
  <c r="E10" i="5"/>
  <c r="F10" i="5"/>
  <c r="B10" i="5"/>
  <c r="C9" i="5"/>
  <c r="D9" i="5"/>
  <c r="E9" i="5"/>
  <c r="F9" i="5"/>
  <c r="B9" i="5"/>
  <c r="D8" i="5"/>
  <c r="C7" i="5"/>
  <c r="C8" i="5" s="1"/>
  <c r="D7" i="5"/>
  <c r="E7" i="5"/>
  <c r="E8" i="5" s="1"/>
  <c r="F7" i="5"/>
  <c r="F8" i="5" s="1"/>
  <c r="B7" i="5"/>
  <c r="B8" i="5" s="1"/>
  <c r="C6" i="5"/>
  <c r="D6" i="5"/>
  <c r="E6" i="5"/>
  <c r="F6" i="5"/>
  <c r="B6" i="5"/>
  <c r="B5" i="5"/>
  <c r="C5" i="5"/>
  <c r="D5" i="5"/>
  <c r="E5" i="5"/>
  <c r="F5" i="5"/>
  <c r="D4" i="5"/>
  <c r="E4" i="5"/>
  <c r="F4" i="5"/>
  <c r="D3" i="5"/>
  <c r="E3" i="5"/>
  <c r="F3" i="5"/>
  <c r="E5" i="6" l="1"/>
  <c r="F5" i="6" s="1"/>
  <c r="F21" i="5"/>
  <c r="B21" i="5"/>
  <c r="C15" i="5"/>
  <c r="B15" i="5"/>
  <c r="D12" i="5"/>
  <c r="E13" i="5"/>
  <c r="D7" i="6" s="1"/>
  <c r="E7" i="6" s="1"/>
  <c r="F7" i="6" s="1"/>
  <c r="F14" i="5"/>
  <c r="F15" i="5" s="1"/>
  <c r="F13" i="5"/>
  <c r="E14" i="5"/>
  <c r="E15" i="5" s="1"/>
  <c r="C13" i="5"/>
  <c r="C12" i="5"/>
  <c r="B12" i="5"/>
  <c r="B13" i="5"/>
</calcChain>
</file>

<file path=xl/sharedStrings.xml><?xml version="1.0" encoding="utf-8"?>
<sst xmlns="http://schemas.openxmlformats.org/spreadsheetml/2006/main" count="328" uniqueCount="149">
  <si>
    <t>FY2022</t>
  </si>
  <si>
    <t>FY2023</t>
  </si>
  <si>
    <t>FY2024</t>
  </si>
  <si>
    <t>FY2025</t>
  </si>
  <si>
    <t>FY2026</t>
  </si>
  <si>
    <t>Revenue</t>
  </si>
  <si>
    <t>Cost of Revenue</t>
  </si>
  <si>
    <t>Gross Profit</t>
  </si>
  <si>
    <t>R&amp;D</t>
  </si>
  <si>
    <t>Sales &amp; Marketing</t>
  </si>
  <si>
    <t>G&amp;A</t>
  </si>
  <si>
    <t>Operating Income</t>
  </si>
  <si>
    <t>Other Income, Net</t>
  </si>
  <si>
    <t>Income Before Tax</t>
  </si>
  <si>
    <t>Income Tax</t>
  </si>
  <si>
    <t>Net Income (Profit)</t>
  </si>
  <si>
    <t>Accounts Receivable</t>
  </si>
  <si>
    <t>Inventory</t>
  </si>
  <si>
    <t>Other Current Assets</t>
  </si>
  <si>
    <t>Total Current Assets</t>
  </si>
  <si>
    <t>Goodwill</t>
  </si>
  <si>
    <t>Other Long-Term Assets</t>
  </si>
  <si>
    <t>Total Assets</t>
  </si>
  <si>
    <t>Accounts Payable</t>
  </si>
  <si>
    <t>Other Current Liabilities</t>
  </si>
  <si>
    <t>Total Current Liabilities</t>
  </si>
  <si>
    <t>Long-Term Debt</t>
  </si>
  <si>
    <t>Other Long-Term Liabilities</t>
  </si>
  <si>
    <t>Total Liabilities</t>
  </si>
  <si>
    <t>Short-Term Investments</t>
  </si>
  <si>
    <t>Net Income</t>
  </si>
  <si>
    <t>Stock-Based Compensation</t>
  </si>
  <si>
    <t>Change in Inventory</t>
  </si>
  <si>
    <t>Acquisitions</t>
  </si>
  <si>
    <t>Share Repurchases</t>
  </si>
  <si>
    <t>Net Change in Cash</t>
  </si>
  <si>
    <t>Metric</t>
  </si>
  <si>
    <t>Revenue Growth</t>
  </si>
  <si>
    <t>Gross Margin</t>
  </si>
  <si>
    <t>EBIT Margin</t>
  </si>
  <si>
    <t>Current Ratio</t>
  </si>
  <si>
    <t>Debt / Equity</t>
  </si>
  <si>
    <t>FCF</t>
  </si>
  <si>
    <t>FCF Margin</t>
  </si>
  <si>
    <t>FCF Conversion</t>
  </si>
  <si>
    <t>AR Growth</t>
  </si>
  <si>
    <t>Inventory Growth</t>
  </si>
  <si>
    <t>AP Growth</t>
  </si>
  <si>
    <t>Finding</t>
  </si>
  <si>
    <t>Current</t>
  </si>
  <si>
    <t>Change</t>
  </si>
  <si>
    <t>Severity</t>
  </si>
  <si>
    <t>Revenue growth</t>
  </si>
  <si>
    <t>Margin compression</t>
  </si>
  <si>
    <t>Receivables growth</t>
  </si>
  <si>
    <t>Cash conversion</t>
  </si>
  <si>
    <t>Leverage</t>
  </si>
  <si>
    <t>Income Statement ($m)</t>
  </si>
  <si>
    <t>Statement</t>
  </si>
  <si>
    <t>Balance Sheet ($ millions)</t>
  </si>
  <si>
    <t>ASSETS</t>
  </si>
  <si>
    <t>Cash &amp; Cash Equivalents</t>
  </si>
  <si>
    <t>PP&amp;E, Net</t>
  </si>
  <si>
    <t>Operating Lease ROU Assets</t>
  </si>
  <si>
    <t>Equity &amp; Other Investments</t>
  </si>
  <si>
    <t>Intangible Assets, Net</t>
  </si>
  <si>
    <t>LIABILITIES</t>
  </si>
  <si>
    <t>Short-Term Debt</t>
  </si>
  <si>
    <t>Current Portion of Long-Term Debt</t>
  </si>
  <si>
    <t>Accrued Compensation</t>
  </si>
  <si>
    <t>Short-Term Income Taxes</t>
  </si>
  <si>
    <t>Short-Term Unearned Revenue</t>
  </si>
  <si>
    <t>Long-Term Income Taxes</t>
  </si>
  <si>
    <t>Long-Term Unearned Revenue</t>
  </si>
  <si>
    <t>Deferred Income Taxes</t>
  </si>
  <si>
    <t>Operating Lease Liabilities</t>
  </si>
  <si>
    <t>STOCKHOLDERS' EQUITY</t>
  </si>
  <si>
    <t>Common Stock &amp; Paid-In Capital</t>
  </si>
  <si>
    <t>Retained Earnings</t>
  </si>
  <si>
    <t>Accumulated Other Comprehensive Loss</t>
  </si>
  <si>
    <t>Total Stockholders' Equity</t>
  </si>
  <si>
    <t>Total Liabilities + Equity</t>
  </si>
  <si>
    <t>Cash Flow Statement ($m)</t>
  </si>
  <si>
    <t>OPERATING ACTIVITIES</t>
  </si>
  <si>
    <t>D&amp;A and Other</t>
  </si>
  <si>
    <t>Investment/Derivative Gains (Losses)</t>
  </si>
  <si>
    <t>Change in Accounts Receivable</t>
  </si>
  <si>
    <t>Change in Other Current Assets</t>
  </si>
  <si>
    <t>Change in Other Long-Term Assets</t>
  </si>
  <si>
    <t>Change in Accounts Payable</t>
  </si>
  <si>
    <t>Change in Unearned Revenue</t>
  </si>
  <si>
    <t>Change in Income Taxes</t>
  </si>
  <si>
    <t>Change in Other Current Liabilities</t>
  </si>
  <si>
    <t>Change in Other Long-Term Liabilities</t>
  </si>
  <si>
    <t>Cash Flow from Operations (CFO)</t>
  </si>
  <si>
    <t>INVESTING ACTIVITIES</t>
  </si>
  <si>
    <t>Additions to PP&amp;E / CapEx</t>
  </si>
  <si>
    <t>Purchases of Investments</t>
  </si>
  <si>
    <t>Maturities of Investments</t>
  </si>
  <si>
    <t>Sales of Investments</t>
  </si>
  <si>
    <t>Other Investing, Net</t>
  </si>
  <si>
    <t>Cash Flow from Investing (CFI)</t>
  </si>
  <si>
    <t>FINANCING ACTIVITIES</t>
  </si>
  <si>
    <t>Short-Term Debt Issuance/(Repayment), Net</t>
  </si>
  <si>
    <t>Debt Issued</t>
  </si>
  <si>
    <t>Debt Repayment</t>
  </si>
  <si>
    <t>Common Stock Issued</t>
  </si>
  <si>
    <t>Dividends Paid</t>
  </si>
  <si>
    <t>Other Financing, Net</t>
  </si>
  <si>
    <t>Cash Flow from Financing (CFF)</t>
  </si>
  <si>
    <t>FX Effect on Cash</t>
  </si>
  <si>
    <t>Beginning Cash</t>
  </si>
  <si>
    <t>Ending Cash</t>
  </si>
  <si>
    <t>Net Income Growth</t>
  </si>
  <si>
    <t>Quick Ratio</t>
  </si>
  <si>
    <t>Total Debt</t>
  </si>
  <si>
    <t>Net Debt</t>
  </si>
  <si>
    <t>Operating Working Capital</t>
  </si>
  <si>
    <t>CapEx / Revenue</t>
  </si>
  <si>
    <t>N/A</t>
  </si>
  <si>
    <t>Investigation</t>
  </si>
  <si>
    <t>Assess drivers of revenue growth and identify key segment contributions.</t>
  </si>
  <si>
    <t>Investigate cost of revenue growth and drivers of gross margin pressure.</t>
  </si>
  <si>
    <t>Compare AR growth with revenue growth and assess potential collection risk.</t>
  </si>
  <si>
    <t>Investigate rising CapEx and working capital movements contributing to weaker FCF conversion.</t>
  </si>
  <si>
    <t>Assess debt trend, repayment capacity, and leverage relative to operating performance.</t>
  </si>
  <si>
    <t>Income Statement</t>
  </si>
  <si>
    <t>Research &amp; Development</t>
  </si>
  <si>
    <t>General &amp; Administrative</t>
  </si>
  <si>
    <t>Other Income/(Expense), Net</t>
  </si>
  <si>
    <t>Balance Sheet</t>
  </si>
  <si>
    <t>Accumulated OCI Loss</t>
  </si>
  <si>
    <t>Cash Flow</t>
  </si>
  <si>
    <t>CapEx</t>
  </si>
  <si>
    <t>FX Effect</t>
  </si>
  <si>
    <t>EBITDA Proxy</t>
  </si>
  <si>
    <t>EBITDA Proxy Margin</t>
  </si>
  <si>
    <t>Debt / EBITDA Proxy</t>
  </si>
  <si>
    <t>Net Debt / EBITDA Proxy</t>
  </si>
  <si>
    <t>Earnings–Cash Flow Divergence</t>
  </si>
  <si>
    <t>Net Income Growth vs FCF Growth</t>
  </si>
  <si>
    <t>Investment Intensity</t>
  </si>
  <si>
    <t>Receivables vs Sales</t>
  </si>
  <si>
    <t>AR Growth vs Revenue Growth</t>
  </si>
  <si>
    <t>Investigate CapEx and working-capital movements driving divergence between earnings and free cash flow.</t>
  </si>
  <si>
    <t>Assess drivers of increased capital investment and implications for future cash generation and returns.</t>
  </si>
  <si>
    <t>Monitor receivables growth relative to revenue and assess collection trends.</t>
  </si>
  <si>
    <t>Debt/EBITDA Proxy</t>
  </si>
  <si>
    <t>Previous / Comparator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</si>
</sst>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/>
    <xf numFmtId="3" fontId="1" fillId="0" borderId="0" xfId="0" applyNumberFormat="1" applyFont="1"/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3473-E6BA-9843-851B-675656B8B2FE}">
  <dimension ref="A1:G80"/>
  <sheetViews>
    <sheetView tabSelected="1" topLeftCell="A31" workbookViewId="0">
      <selection activeCell="I54" sqref="I54"/>
    </sheetView>
  </sheetViews>
  <sheetFormatPr baseColWidth="10" defaultRowHeight="16" x14ac:dyDescent="0.2"/>
  <cols>
    <col min="1" max="1" width="24.83203125" customWidth="1"/>
    <col min="2" max="2" width="37.83203125" customWidth="1"/>
    <col min="3" max="3" width="13.33203125" style="1" customWidth="1"/>
    <col min="4" max="5" width="14.1640625" style="1" customWidth="1"/>
    <col min="6" max="6" width="13" style="1" customWidth="1"/>
    <col min="7" max="7" width="11.6640625" style="1" customWidth="1"/>
  </cols>
  <sheetData>
    <row r="1" spans="1:7" s="3" customFormat="1" x14ac:dyDescent="0.2">
      <c r="A1" s="3" t="s">
        <v>58</v>
      </c>
      <c r="B1" s="3" t="s">
        <v>36</v>
      </c>
      <c r="C1" s="3" t="s">
        <v>0</v>
      </c>
      <c r="D1" s="3" t="s">
        <v>1</v>
      </c>
      <c r="E1" s="4" t="s">
        <v>2</v>
      </c>
      <c r="F1" s="4" t="s">
        <v>3</v>
      </c>
      <c r="G1" s="4" t="s">
        <v>4</v>
      </c>
    </row>
    <row r="3" spans="1:7" x14ac:dyDescent="0.2">
      <c r="A3" t="s">
        <v>126</v>
      </c>
      <c r="B3" t="s">
        <v>5</v>
      </c>
      <c r="C3" s="1">
        <v>198270</v>
      </c>
      <c r="D3" s="1">
        <v>211915</v>
      </c>
      <c r="E3" s="1">
        <v>245122</v>
      </c>
      <c r="F3" s="1">
        <v>281724</v>
      </c>
      <c r="G3" s="1">
        <v>331839</v>
      </c>
    </row>
    <row r="4" spans="1:7" x14ac:dyDescent="0.2">
      <c r="A4" t="s">
        <v>126</v>
      </c>
      <c r="B4" t="s">
        <v>6</v>
      </c>
      <c r="C4" s="1">
        <v>62650</v>
      </c>
      <c r="D4" s="1">
        <v>65863</v>
      </c>
      <c r="E4" s="1">
        <v>74114</v>
      </c>
      <c r="F4" s="1">
        <v>87831</v>
      </c>
      <c r="G4" s="1">
        <v>106374</v>
      </c>
    </row>
    <row r="5" spans="1:7" x14ac:dyDescent="0.2">
      <c r="A5" t="s">
        <v>126</v>
      </c>
      <c r="B5" t="s">
        <v>7</v>
      </c>
      <c r="C5" s="1">
        <v>135620</v>
      </c>
      <c r="D5" s="1">
        <v>146052</v>
      </c>
      <c r="E5" s="1">
        <v>171008</v>
      </c>
      <c r="F5" s="1">
        <v>193893</v>
      </c>
      <c r="G5" s="1">
        <v>225465</v>
      </c>
    </row>
    <row r="6" spans="1:7" x14ac:dyDescent="0.2">
      <c r="A6" t="s">
        <v>126</v>
      </c>
      <c r="B6" t="s">
        <v>127</v>
      </c>
      <c r="C6" s="1">
        <v>24512</v>
      </c>
      <c r="D6" s="1">
        <v>27195</v>
      </c>
      <c r="E6" s="1">
        <v>29510</v>
      </c>
      <c r="F6" s="1">
        <v>32488</v>
      </c>
      <c r="G6" s="1">
        <v>35562</v>
      </c>
    </row>
    <row r="7" spans="1:7" x14ac:dyDescent="0.2">
      <c r="A7" t="s">
        <v>126</v>
      </c>
      <c r="B7" t="s">
        <v>9</v>
      </c>
      <c r="C7" s="1">
        <v>21825</v>
      </c>
      <c r="D7" s="1">
        <v>22759</v>
      </c>
      <c r="E7" s="1">
        <v>24456</v>
      </c>
      <c r="F7" s="1">
        <v>25654</v>
      </c>
      <c r="G7" s="1">
        <v>26710</v>
      </c>
    </row>
    <row r="8" spans="1:7" x14ac:dyDescent="0.2">
      <c r="A8" t="s">
        <v>126</v>
      </c>
      <c r="B8" t="s">
        <v>128</v>
      </c>
      <c r="C8" s="1">
        <v>5900</v>
      </c>
      <c r="D8" s="1">
        <v>7575</v>
      </c>
      <c r="E8" s="1">
        <v>7609</v>
      </c>
      <c r="F8" s="1">
        <v>7223</v>
      </c>
      <c r="G8" s="1">
        <v>7956</v>
      </c>
    </row>
    <row r="9" spans="1:7" x14ac:dyDescent="0.2">
      <c r="A9" t="s">
        <v>126</v>
      </c>
      <c r="B9" t="s">
        <v>11</v>
      </c>
      <c r="C9" s="1">
        <v>83383</v>
      </c>
      <c r="D9" s="1">
        <v>88523</v>
      </c>
      <c r="E9" s="1">
        <v>109433</v>
      </c>
      <c r="F9" s="1">
        <v>128528</v>
      </c>
      <c r="G9" s="1">
        <v>155237</v>
      </c>
    </row>
    <row r="10" spans="1:7" x14ac:dyDescent="0.2">
      <c r="A10" t="s">
        <v>126</v>
      </c>
      <c r="B10" t="s">
        <v>129</v>
      </c>
      <c r="C10" s="1">
        <v>333</v>
      </c>
      <c r="D10" s="1">
        <v>788</v>
      </c>
      <c r="E10" s="1">
        <v>-1646</v>
      </c>
      <c r="F10" s="1">
        <v>-4901</v>
      </c>
      <c r="G10" s="1">
        <v>10697</v>
      </c>
    </row>
    <row r="11" spans="1:7" x14ac:dyDescent="0.2">
      <c r="A11" t="s">
        <v>126</v>
      </c>
      <c r="B11" t="s">
        <v>13</v>
      </c>
      <c r="C11" s="1">
        <v>83716</v>
      </c>
      <c r="D11" s="1">
        <v>89311</v>
      </c>
      <c r="E11" s="1">
        <v>107787</v>
      </c>
      <c r="F11" s="1">
        <v>123627</v>
      </c>
      <c r="G11" s="1">
        <v>165934</v>
      </c>
    </row>
    <row r="12" spans="1:7" x14ac:dyDescent="0.2">
      <c r="A12" t="s">
        <v>126</v>
      </c>
      <c r="B12" t="s">
        <v>14</v>
      </c>
      <c r="C12" s="1">
        <v>10978</v>
      </c>
      <c r="D12" s="1">
        <v>16950</v>
      </c>
      <c r="E12" s="1">
        <v>19651</v>
      </c>
      <c r="F12" s="1">
        <v>21795</v>
      </c>
      <c r="G12" s="1">
        <v>32185</v>
      </c>
    </row>
    <row r="13" spans="1:7" x14ac:dyDescent="0.2">
      <c r="A13" t="s">
        <v>126</v>
      </c>
      <c r="B13" t="s">
        <v>30</v>
      </c>
      <c r="C13" s="1">
        <v>72738</v>
      </c>
      <c r="D13" s="1">
        <v>72361</v>
      </c>
      <c r="E13" s="1">
        <v>88136</v>
      </c>
      <c r="F13" s="1">
        <v>101832</v>
      </c>
      <c r="G13" s="1">
        <v>133749</v>
      </c>
    </row>
    <row r="14" spans="1:7" x14ac:dyDescent="0.2">
      <c r="A14" t="s">
        <v>130</v>
      </c>
      <c r="B14" t="s">
        <v>61</v>
      </c>
      <c r="C14" s="1">
        <v>13931</v>
      </c>
      <c r="D14" s="1">
        <v>34704</v>
      </c>
      <c r="E14" s="1">
        <v>18315</v>
      </c>
      <c r="F14" s="1">
        <v>30242</v>
      </c>
      <c r="G14" s="1">
        <v>20935</v>
      </c>
    </row>
    <row r="15" spans="1:7" x14ac:dyDescent="0.2">
      <c r="A15" t="s">
        <v>130</v>
      </c>
      <c r="B15" t="s">
        <v>29</v>
      </c>
      <c r="C15" s="1">
        <v>90826</v>
      </c>
      <c r="D15" s="1">
        <v>76558</v>
      </c>
      <c r="E15" s="1">
        <v>57228</v>
      </c>
      <c r="F15" s="1">
        <v>64323</v>
      </c>
      <c r="G15" s="1">
        <v>55908</v>
      </c>
    </row>
    <row r="16" spans="1:7" x14ac:dyDescent="0.2">
      <c r="A16" t="s">
        <v>130</v>
      </c>
      <c r="B16" t="s">
        <v>16</v>
      </c>
      <c r="C16" s="1">
        <v>44261</v>
      </c>
      <c r="D16" s="1">
        <v>48688</v>
      </c>
      <c r="E16" s="1">
        <v>56924</v>
      </c>
      <c r="F16" s="1">
        <v>69905</v>
      </c>
      <c r="G16" s="1">
        <v>80876</v>
      </c>
    </row>
    <row r="17" spans="1:7" x14ac:dyDescent="0.2">
      <c r="A17" t="s">
        <v>130</v>
      </c>
      <c r="B17" t="s">
        <v>17</v>
      </c>
      <c r="C17" s="1">
        <v>3742</v>
      </c>
      <c r="D17" s="1">
        <v>2500</v>
      </c>
      <c r="E17" s="1">
        <v>1246</v>
      </c>
      <c r="F17" s="1">
        <v>938</v>
      </c>
      <c r="G17" s="1">
        <v>1397</v>
      </c>
    </row>
    <row r="18" spans="1:7" x14ac:dyDescent="0.2">
      <c r="A18" t="s">
        <v>130</v>
      </c>
      <c r="B18" t="s">
        <v>18</v>
      </c>
      <c r="C18" s="1">
        <v>16924</v>
      </c>
      <c r="D18" s="1">
        <v>21807</v>
      </c>
      <c r="E18" s="1">
        <v>26021</v>
      </c>
      <c r="F18" s="1">
        <v>25723</v>
      </c>
      <c r="G18" s="1">
        <v>48594</v>
      </c>
    </row>
    <row r="19" spans="1:7" x14ac:dyDescent="0.2">
      <c r="A19" t="s">
        <v>130</v>
      </c>
      <c r="B19" t="s">
        <v>19</v>
      </c>
      <c r="C19" s="1">
        <v>169684</v>
      </c>
      <c r="D19" s="1">
        <v>184257</v>
      </c>
      <c r="E19" s="1">
        <v>159734</v>
      </c>
      <c r="F19" s="1">
        <v>191131</v>
      </c>
      <c r="G19" s="1">
        <v>207710</v>
      </c>
    </row>
    <row r="20" spans="1:7" x14ac:dyDescent="0.2">
      <c r="A20" t="s">
        <v>130</v>
      </c>
      <c r="B20" t="s">
        <v>62</v>
      </c>
      <c r="C20" s="1">
        <v>74398</v>
      </c>
      <c r="D20" s="1">
        <v>95641</v>
      </c>
      <c r="E20" s="1">
        <v>135591</v>
      </c>
      <c r="F20" s="1">
        <v>204966</v>
      </c>
      <c r="G20" s="1">
        <v>313076</v>
      </c>
    </row>
    <row r="21" spans="1:7" x14ac:dyDescent="0.2">
      <c r="A21" t="s">
        <v>130</v>
      </c>
      <c r="B21" t="s">
        <v>63</v>
      </c>
      <c r="C21" s="1">
        <v>13148</v>
      </c>
      <c r="D21" s="1">
        <v>14346</v>
      </c>
      <c r="E21" s="1">
        <v>18961</v>
      </c>
      <c r="F21" s="1">
        <v>24823</v>
      </c>
      <c r="G21" s="1">
        <v>24177</v>
      </c>
    </row>
    <row r="22" spans="1:7" x14ac:dyDescent="0.2">
      <c r="A22" t="s">
        <v>130</v>
      </c>
      <c r="B22" t="s">
        <v>64</v>
      </c>
      <c r="C22" s="1">
        <v>6891</v>
      </c>
      <c r="D22" s="1">
        <v>9879</v>
      </c>
      <c r="E22" s="1">
        <v>14600</v>
      </c>
      <c r="F22" s="1">
        <v>15405</v>
      </c>
      <c r="G22" s="1">
        <v>36348</v>
      </c>
    </row>
    <row r="23" spans="1:7" x14ac:dyDescent="0.2">
      <c r="A23" t="s">
        <v>130</v>
      </c>
      <c r="B23" t="s">
        <v>20</v>
      </c>
      <c r="C23" s="1">
        <v>67524</v>
      </c>
      <c r="D23" s="1">
        <v>67886</v>
      </c>
      <c r="E23" s="1">
        <v>119220</v>
      </c>
      <c r="F23" s="1">
        <v>119509</v>
      </c>
      <c r="G23" s="1">
        <v>119651</v>
      </c>
    </row>
    <row r="24" spans="1:7" x14ac:dyDescent="0.2">
      <c r="A24" t="s">
        <v>130</v>
      </c>
      <c r="B24" t="s">
        <v>65</v>
      </c>
      <c r="C24" s="1">
        <v>11298</v>
      </c>
      <c r="D24" s="1">
        <v>9366</v>
      </c>
      <c r="E24" s="1">
        <v>27597</v>
      </c>
      <c r="F24" s="1">
        <v>22604</v>
      </c>
      <c r="G24" s="1">
        <v>18609</v>
      </c>
    </row>
    <row r="25" spans="1:7" x14ac:dyDescent="0.2">
      <c r="A25" t="s">
        <v>130</v>
      </c>
      <c r="B25" t="s">
        <v>21</v>
      </c>
      <c r="C25" s="1">
        <v>21897</v>
      </c>
      <c r="D25" s="1">
        <v>30601</v>
      </c>
      <c r="E25" s="1">
        <v>36460</v>
      </c>
      <c r="F25" s="1">
        <v>40565</v>
      </c>
      <c r="G25" s="1">
        <v>38805</v>
      </c>
    </row>
    <row r="26" spans="1:7" x14ac:dyDescent="0.2">
      <c r="A26" t="s">
        <v>130</v>
      </c>
      <c r="B26" t="s">
        <v>22</v>
      </c>
      <c r="C26" s="1">
        <v>364840</v>
      </c>
      <c r="D26" s="1">
        <v>411976</v>
      </c>
      <c r="E26" s="1">
        <v>512163</v>
      </c>
      <c r="F26" s="1">
        <v>619003</v>
      </c>
      <c r="G26" s="1">
        <v>758376</v>
      </c>
    </row>
    <row r="27" spans="1:7" x14ac:dyDescent="0.2">
      <c r="A27" t="s">
        <v>130</v>
      </c>
      <c r="B27" t="s">
        <v>23</v>
      </c>
      <c r="C27" s="1">
        <v>19000</v>
      </c>
      <c r="D27" s="1">
        <v>18095</v>
      </c>
      <c r="E27" s="1">
        <v>21996</v>
      </c>
      <c r="F27" s="1">
        <v>27724</v>
      </c>
      <c r="G27" s="1">
        <v>42416</v>
      </c>
    </row>
    <row r="28" spans="1:7" x14ac:dyDescent="0.2">
      <c r="A28" t="s">
        <v>130</v>
      </c>
      <c r="B28" t="s">
        <v>67</v>
      </c>
      <c r="C28" s="1">
        <v>0</v>
      </c>
      <c r="D28" s="1">
        <v>0</v>
      </c>
      <c r="E28" s="1">
        <v>6693</v>
      </c>
      <c r="F28" s="1">
        <v>0</v>
      </c>
      <c r="G28" s="1">
        <v>0</v>
      </c>
    </row>
    <row r="29" spans="1:7" x14ac:dyDescent="0.2">
      <c r="A29" t="s">
        <v>130</v>
      </c>
      <c r="B29" t="s">
        <v>68</v>
      </c>
      <c r="C29" s="1">
        <v>2749</v>
      </c>
      <c r="D29" s="1">
        <v>5247</v>
      </c>
      <c r="E29" s="1">
        <v>2249</v>
      </c>
      <c r="F29" s="1">
        <v>2999</v>
      </c>
      <c r="G29" s="1">
        <v>9227</v>
      </c>
    </row>
    <row r="30" spans="1:7" x14ac:dyDescent="0.2">
      <c r="A30" t="s">
        <v>130</v>
      </c>
      <c r="B30" t="s">
        <v>69</v>
      </c>
      <c r="C30" s="1">
        <v>10661</v>
      </c>
      <c r="D30" s="1">
        <v>11009</v>
      </c>
      <c r="E30" s="1">
        <v>12564</v>
      </c>
      <c r="F30" s="1">
        <v>13709</v>
      </c>
      <c r="G30" s="1">
        <v>14945</v>
      </c>
    </row>
    <row r="31" spans="1:7" x14ac:dyDescent="0.2">
      <c r="A31" t="s">
        <v>130</v>
      </c>
      <c r="B31" t="s">
        <v>70</v>
      </c>
      <c r="C31" s="1">
        <v>4067</v>
      </c>
      <c r="D31" s="1">
        <v>4152</v>
      </c>
      <c r="E31" s="1">
        <v>5017</v>
      </c>
      <c r="F31" s="1">
        <v>7211</v>
      </c>
      <c r="G31" s="1">
        <v>2534</v>
      </c>
    </row>
    <row r="32" spans="1:7" x14ac:dyDescent="0.2">
      <c r="A32" t="s">
        <v>130</v>
      </c>
      <c r="B32" t="s">
        <v>71</v>
      </c>
      <c r="C32" s="1">
        <v>45538</v>
      </c>
      <c r="D32" s="1">
        <v>50901</v>
      </c>
      <c r="E32" s="1">
        <v>57582</v>
      </c>
      <c r="F32" s="1">
        <v>64555</v>
      </c>
      <c r="G32" s="1">
        <v>72965</v>
      </c>
    </row>
    <row r="33" spans="1:7" x14ac:dyDescent="0.2">
      <c r="A33" t="s">
        <v>130</v>
      </c>
      <c r="B33" t="s">
        <v>24</v>
      </c>
      <c r="C33" s="1">
        <v>13067</v>
      </c>
      <c r="D33" s="1">
        <v>14745</v>
      </c>
      <c r="E33" s="1">
        <v>19185</v>
      </c>
      <c r="F33" s="1">
        <v>25020</v>
      </c>
      <c r="G33" s="1">
        <v>26738</v>
      </c>
    </row>
    <row r="34" spans="1:7" x14ac:dyDescent="0.2">
      <c r="A34" t="s">
        <v>130</v>
      </c>
      <c r="B34" t="s">
        <v>25</v>
      </c>
      <c r="C34" s="1">
        <v>95082</v>
      </c>
      <c r="D34" s="1">
        <v>104149</v>
      </c>
      <c r="E34" s="1">
        <v>125286</v>
      </c>
      <c r="F34" s="1">
        <v>141218</v>
      </c>
      <c r="G34" s="1">
        <v>168825</v>
      </c>
    </row>
    <row r="35" spans="1:7" x14ac:dyDescent="0.2">
      <c r="A35" t="s">
        <v>130</v>
      </c>
      <c r="B35" t="s">
        <v>26</v>
      </c>
      <c r="C35" s="1">
        <v>47032</v>
      </c>
      <c r="D35" s="1">
        <v>41990</v>
      </c>
      <c r="E35" s="1">
        <v>42688</v>
      </c>
      <c r="F35" s="1">
        <v>40152</v>
      </c>
      <c r="G35" s="1">
        <v>31067</v>
      </c>
    </row>
    <row r="36" spans="1:7" x14ac:dyDescent="0.2">
      <c r="A36" t="s">
        <v>130</v>
      </c>
      <c r="B36" t="s">
        <v>72</v>
      </c>
      <c r="C36" s="1">
        <v>26069</v>
      </c>
      <c r="D36" s="1">
        <v>25560</v>
      </c>
      <c r="E36" s="1">
        <v>27931</v>
      </c>
      <c r="F36" s="1">
        <v>25986</v>
      </c>
      <c r="G36" s="1">
        <v>28647</v>
      </c>
    </row>
    <row r="37" spans="1:7" x14ac:dyDescent="0.2">
      <c r="A37" t="s">
        <v>130</v>
      </c>
      <c r="B37" t="s">
        <v>73</v>
      </c>
      <c r="C37" s="1">
        <v>2870</v>
      </c>
      <c r="D37" s="1">
        <v>2912</v>
      </c>
      <c r="E37" s="1">
        <v>2602</v>
      </c>
      <c r="F37" s="1">
        <v>2710</v>
      </c>
      <c r="G37" s="1">
        <v>2747</v>
      </c>
    </row>
    <row r="38" spans="1:7" x14ac:dyDescent="0.2">
      <c r="A38" t="s">
        <v>130</v>
      </c>
      <c r="B38" t="s">
        <v>74</v>
      </c>
      <c r="C38" s="1">
        <v>230</v>
      </c>
      <c r="D38" s="1">
        <v>433</v>
      </c>
      <c r="E38" s="1">
        <v>2618</v>
      </c>
      <c r="F38" s="1">
        <v>2835</v>
      </c>
      <c r="G38" s="1">
        <v>3054</v>
      </c>
    </row>
    <row r="39" spans="1:7" x14ac:dyDescent="0.2">
      <c r="A39" t="s">
        <v>130</v>
      </c>
      <c r="B39" t="s">
        <v>75</v>
      </c>
      <c r="C39" s="1">
        <v>11489</v>
      </c>
      <c r="D39" s="1">
        <v>12728</v>
      </c>
      <c r="E39" s="1">
        <v>15497</v>
      </c>
      <c r="F39" s="1">
        <v>17437</v>
      </c>
      <c r="G39" s="1">
        <v>16532</v>
      </c>
    </row>
    <row r="40" spans="1:7" x14ac:dyDescent="0.2">
      <c r="A40" t="s">
        <v>130</v>
      </c>
      <c r="B40" t="s">
        <v>27</v>
      </c>
      <c r="C40" s="1">
        <v>15526</v>
      </c>
      <c r="D40" s="1">
        <v>17981</v>
      </c>
      <c r="E40" s="1">
        <v>27064</v>
      </c>
      <c r="F40" s="1">
        <v>45186</v>
      </c>
      <c r="G40" s="1">
        <v>65117</v>
      </c>
    </row>
    <row r="41" spans="1:7" x14ac:dyDescent="0.2">
      <c r="A41" t="s">
        <v>130</v>
      </c>
      <c r="B41" t="s">
        <v>28</v>
      </c>
      <c r="C41" s="1">
        <v>198298</v>
      </c>
      <c r="D41" s="1">
        <v>205753</v>
      </c>
      <c r="E41" s="1">
        <v>243686</v>
      </c>
      <c r="F41" s="1">
        <v>275524</v>
      </c>
      <c r="G41" s="1">
        <v>315989</v>
      </c>
    </row>
    <row r="42" spans="1:7" x14ac:dyDescent="0.2">
      <c r="A42" t="s">
        <v>130</v>
      </c>
      <c r="B42" t="s">
        <v>77</v>
      </c>
      <c r="C42" s="1">
        <v>86939</v>
      </c>
      <c r="D42" s="1">
        <v>93718</v>
      </c>
      <c r="E42" s="1">
        <v>100923</v>
      </c>
      <c r="F42" s="1">
        <v>109095</v>
      </c>
      <c r="G42" s="1">
        <v>117406</v>
      </c>
    </row>
    <row r="43" spans="1:7" x14ac:dyDescent="0.2">
      <c r="A43" t="s">
        <v>130</v>
      </c>
      <c r="B43" t="s">
        <v>78</v>
      </c>
      <c r="C43" s="1">
        <v>84281</v>
      </c>
      <c r="D43" s="1">
        <v>118848</v>
      </c>
      <c r="E43" s="1">
        <v>173144</v>
      </c>
      <c r="F43" s="1">
        <v>237731</v>
      </c>
      <c r="G43" s="1">
        <v>328265</v>
      </c>
    </row>
    <row r="44" spans="1:7" x14ac:dyDescent="0.2">
      <c r="A44" t="s">
        <v>130</v>
      </c>
      <c r="B44" t="s">
        <v>131</v>
      </c>
      <c r="C44" s="1">
        <v>-4678</v>
      </c>
      <c r="D44" s="1">
        <v>-6343</v>
      </c>
      <c r="E44" s="1">
        <v>-5590</v>
      </c>
      <c r="F44" s="1">
        <v>-3347</v>
      </c>
      <c r="G44" s="1">
        <v>-3284</v>
      </c>
    </row>
    <row r="45" spans="1:7" x14ac:dyDescent="0.2">
      <c r="A45" t="s">
        <v>130</v>
      </c>
      <c r="B45" t="s">
        <v>80</v>
      </c>
      <c r="C45" s="1">
        <v>166542</v>
      </c>
      <c r="D45" s="1">
        <v>206223</v>
      </c>
      <c r="E45" s="1">
        <v>268477</v>
      </c>
      <c r="F45" s="1">
        <v>343479</v>
      </c>
      <c r="G45" s="1">
        <v>442387</v>
      </c>
    </row>
    <row r="46" spans="1:7" x14ac:dyDescent="0.2">
      <c r="A46" t="s">
        <v>130</v>
      </c>
      <c r="B46" t="s">
        <v>81</v>
      </c>
      <c r="C46" s="1">
        <v>364840</v>
      </c>
      <c r="D46" s="1">
        <v>411976</v>
      </c>
      <c r="E46" s="1">
        <v>512163</v>
      </c>
      <c r="F46" s="1">
        <v>619003</v>
      </c>
      <c r="G46" s="1">
        <v>758376</v>
      </c>
    </row>
    <row r="47" spans="1:7" x14ac:dyDescent="0.2">
      <c r="A47" t="s">
        <v>132</v>
      </c>
      <c r="B47" t="s">
        <v>30</v>
      </c>
      <c r="C47" s="1">
        <v>72738</v>
      </c>
      <c r="D47" s="1">
        <v>72361</v>
      </c>
      <c r="E47" s="1">
        <v>88136</v>
      </c>
      <c r="F47" s="1">
        <v>101832</v>
      </c>
      <c r="G47" s="1">
        <v>133749</v>
      </c>
    </row>
    <row r="48" spans="1:7" x14ac:dyDescent="0.2">
      <c r="A48" t="s">
        <v>132</v>
      </c>
      <c r="B48" t="s">
        <v>84</v>
      </c>
      <c r="C48" s="1">
        <v>14460</v>
      </c>
      <c r="D48" s="1">
        <v>13861</v>
      </c>
      <c r="E48" s="1">
        <v>22287</v>
      </c>
      <c r="F48" s="15">
        <v>29433</v>
      </c>
      <c r="G48" s="15">
        <v>38534</v>
      </c>
    </row>
    <row r="49" spans="1:7" x14ac:dyDescent="0.2">
      <c r="A49" t="s">
        <v>132</v>
      </c>
      <c r="B49" t="s">
        <v>31</v>
      </c>
      <c r="C49" s="1">
        <v>7502</v>
      </c>
      <c r="D49" s="1">
        <v>9611</v>
      </c>
      <c r="E49" s="1">
        <v>10734</v>
      </c>
      <c r="F49" s="1">
        <v>11974</v>
      </c>
      <c r="G49" s="1">
        <v>12405</v>
      </c>
    </row>
    <row r="50" spans="1:7" x14ac:dyDescent="0.2">
      <c r="A50" t="s">
        <v>132</v>
      </c>
      <c r="B50" t="s">
        <v>85</v>
      </c>
      <c r="C50" s="1">
        <v>-409</v>
      </c>
      <c r="D50" s="1">
        <v>196</v>
      </c>
      <c r="E50" s="1">
        <v>305</v>
      </c>
      <c r="F50" s="1">
        <v>5329</v>
      </c>
      <c r="G50" s="1">
        <v>-11047</v>
      </c>
    </row>
    <row r="51" spans="1:7" x14ac:dyDescent="0.2">
      <c r="A51" t="s">
        <v>132</v>
      </c>
      <c r="B51" t="s">
        <v>74</v>
      </c>
      <c r="C51" s="1">
        <v>-5702</v>
      </c>
      <c r="D51" s="1">
        <v>-6059</v>
      </c>
      <c r="E51" s="1">
        <v>-4738</v>
      </c>
      <c r="F51" s="1">
        <v>-7056</v>
      </c>
      <c r="G51" s="1">
        <v>14189</v>
      </c>
    </row>
    <row r="52" spans="1:7" x14ac:dyDescent="0.2">
      <c r="A52" t="s">
        <v>132</v>
      </c>
      <c r="B52" t="s">
        <v>86</v>
      </c>
      <c r="C52" s="1">
        <v>-6834</v>
      </c>
      <c r="D52" s="1">
        <v>-4087</v>
      </c>
      <c r="E52" s="1">
        <v>-7191</v>
      </c>
      <c r="F52" s="1">
        <v>-10581</v>
      </c>
      <c r="G52" s="1">
        <v>-12737</v>
      </c>
    </row>
    <row r="53" spans="1:7" x14ac:dyDescent="0.2">
      <c r="A53" t="s">
        <v>132</v>
      </c>
      <c r="B53" t="s">
        <v>32</v>
      </c>
      <c r="C53" s="1">
        <v>-1123</v>
      </c>
      <c r="D53" s="1">
        <v>1242</v>
      </c>
      <c r="E53" s="1">
        <v>1284</v>
      </c>
      <c r="F53" s="1">
        <v>309</v>
      </c>
      <c r="G53" s="1">
        <v>-461</v>
      </c>
    </row>
    <row r="54" spans="1:7" x14ac:dyDescent="0.2">
      <c r="A54" t="s">
        <v>132</v>
      </c>
      <c r="B54" t="s">
        <v>87</v>
      </c>
      <c r="C54" s="1">
        <v>-709</v>
      </c>
      <c r="D54" s="1">
        <v>-1991</v>
      </c>
      <c r="E54" s="1">
        <v>-1648</v>
      </c>
      <c r="F54" s="1">
        <v>-3044</v>
      </c>
      <c r="G54" s="1">
        <v>-2627</v>
      </c>
    </row>
    <row r="55" spans="1:7" x14ac:dyDescent="0.2">
      <c r="A55" t="s">
        <v>132</v>
      </c>
      <c r="B55" t="s">
        <v>88</v>
      </c>
      <c r="C55" s="1">
        <v>-2805</v>
      </c>
      <c r="D55" s="1">
        <v>-2833</v>
      </c>
      <c r="E55" s="1">
        <v>-6817</v>
      </c>
      <c r="F55" s="1">
        <v>-2950</v>
      </c>
      <c r="G55" s="1">
        <v>-3964</v>
      </c>
    </row>
    <row r="56" spans="1:7" x14ac:dyDescent="0.2">
      <c r="A56" t="s">
        <v>132</v>
      </c>
      <c r="B56" t="s">
        <v>89</v>
      </c>
      <c r="C56" s="1">
        <v>2943</v>
      </c>
      <c r="D56" s="1">
        <v>-2721</v>
      </c>
      <c r="E56" s="1">
        <v>3545</v>
      </c>
      <c r="F56" s="1">
        <v>569</v>
      </c>
      <c r="G56" s="1">
        <v>5268</v>
      </c>
    </row>
    <row r="57" spans="1:7" x14ac:dyDescent="0.2">
      <c r="A57" t="s">
        <v>132</v>
      </c>
      <c r="B57" t="s">
        <v>90</v>
      </c>
      <c r="C57" s="1">
        <v>5109</v>
      </c>
      <c r="D57" s="1">
        <v>5535</v>
      </c>
      <c r="E57" s="1">
        <v>5348</v>
      </c>
      <c r="F57" s="1">
        <v>5438</v>
      </c>
      <c r="G57" s="1">
        <v>9361</v>
      </c>
    </row>
    <row r="58" spans="1:7" x14ac:dyDescent="0.2">
      <c r="A58" t="s">
        <v>132</v>
      </c>
      <c r="B58" t="s">
        <v>91</v>
      </c>
      <c r="C58" s="1">
        <v>696</v>
      </c>
      <c r="D58" s="1">
        <v>-358</v>
      </c>
      <c r="E58" s="1">
        <v>1687</v>
      </c>
      <c r="F58" s="1">
        <v>-38</v>
      </c>
      <c r="G58" s="1">
        <v>-1875</v>
      </c>
    </row>
    <row r="59" spans="1:7" x14ac:dyDescent="0.2">
      <c r="A59" t="s">
        <v>132</v>
      </c>
      <c r="B59" t="s">
        <v>92</v>
      </c>
      <c r="C59" s="1">
        <v>2344</v>
      </c>
      <c r="D59" s="1">
        <v>2272</v>
      </c>
      <c r="E59" s="1">
        <v>4867</v>
      </c>
      <c r="F59" s="1">
        <v>5922</v>
      </c>
      <c r="G59" s="1">
        <v>6847</v>
      </c>
    </row>
    <row r="60" spans="1:7" x14ac:dyDescent="0.2">
      <c r="A60" t="s">
        <v>132</v>
      </c>
      <c r="B60" t="s">
        <v>93</v>
      </c>
      <c r="C60" s="1">
        <v>825</v>
      </c>
      <c r="D60" s="1">
        <v>553</v>
      </c>
      <c r="E60" s="1">
        <v>749</v>
      </c>
      <c r="F60" s="1">
        <v>-975</v>
      </c>
      <c r="G60" s="1">
        <v>-4707</v>
      </c>
    </row>
    <row r="61" spans="1:7" x14ac:dyDescent="0.2">
      <c r="A61" t="s">
        <v>132</v>
      </c>
      <c r="B61" t="s">
        <v>94</v>
      </c>
      <c r="C61" s="1">
        <v>89035</v>
      </c>
      <c r="D61" s="1">
        <v>87582</v>
      </c>
      <c r="E61" s="1">
        <v>118548</v>
      </c>
      <c r="F61" s="1">
        <v>136162</v>
      </c>
      <c r="G61" s="1">
        <v>182935</v>
      </c>
    </row>
    <row r="62" spans="1:7" x14ac:dyDescent="0.2">
      <c r="A62" t="s">
        <v>132</v>
      </c>
      <c r="B62" t="s">
        <v>133</v>
      </c>
      <c r="C62" s="1">
        <v>-23886</v>
      </c>
      <c r="D62" s="1">
        <v>-28107</v>
      </c>
      <c r="E62" s="1">
        <v>-44477</v>
      </c>
      <c r="F62" s="1">
        <v>-64551</v>
      </c>
      <c r="G62" s="1">
        <v>-115948</v>
      </c>
    </row>
    <row r="63" spans="1:7" x14ac:dyDescent="0.2">
      <c r="A63" t="s">
        <v>132</v>
      </c>
      <c r="B63" t="s">
        <v>33</v>
      </c>
      <c r="C63" s="1">
        <v>-22038</v>
      </c>
      <c r="D63" s="1">
        <v>-1670</v>
      </c>
      <c r="E63" s="1">
        <v>-69132</v>
      </c>
      <c r="F63" s="1">
        <v>-5978</v>
      </c>
      <c r="G63" s="1">
        <v>-1743</v>
      </c>
    </row>
    <row r="64" spans="1:7" x14ac:dyDescent="0.2">
      <c r="A64" t="s">
        <v>132</v>
      </c>
      <c r="B64" t="s">
        <v>97</v>
      </c>
      <c r="C64" s="1">
        <v>-26456</v>
      </c>
      <c r="D64" s="1">
        <v>-37651</v>
      </c>
      <c r="E64" s="1">
        <v>-17732</v>
      </c>
      <c r="F64" s="1">
        <v>-29775</v>
      </c>
      <c r="G64" s="1">
        <v>-58351</v>
      </c>
    </row>
    <row r="65" spans="1:7" x14ac:dyDescent="0.2">
      <c r="A65" t="s">
        <v>132</v>
      </c>
      <c r="B65" t="s">
        <v>98</v>
      </c>
      <c r="C65" s="1">
        <v>16451</v>
      </c>
      <c r="D65" s="1">
        <v>33510</v>
      </c>
      <c r="E65" s="1">
        <v>24775</v>
      </c>
      <c r="F65" s="1">
        <v>16079</v>
      </c>
      <c r="G65" s="1">
        <v>34605</v>
      </c>
    </row>
    <row r="66" spans="1:7" x14ac:dyDescent="0.2">
      <c r="A66" t="s">
        <v>132</v>
      </c>
      <c r="B66" t="s">
        <v>99</v>
      </c>
      <c r="C66" s="1">
        <v>28443</v>
      </c>
      <c r="D66" s="1">
        <v>14354</v>
      </c>
      <c r="E66" s="1">
        <v>10894</v>
      </c>
      <c r="F66" s="1">
        <v>9309</v>
      </c>
      <c r="G66" s="1">
        <v>21798</v>
      </c>
    </row>
    <row r="67" spans="1:7" x14ac:dyDescent="0.2">
      <c r="A67" t="s">
        <v>132</v>
      </c>
      <c r="B67" t="s">
        <v>100</v>
      </c>
      <c r="C67" s="1">
        <v>-2825</v>
      </c>
      <c r="D67" s="1">
        <v>-3116</v>
      </c>
      <c r="E67" s="1">
        <v>-1298</v>
      </c>
      <c r="F67" s="1">
        <v>2317</v>
      </c>
      <c r="G67" s="1">
        <v>-19861</v>
      </c>
    </row>
    <row r="68" spans="1:7" x14ac:dyDescent="0.2">
      <c r="A68" t="s">
        <v>132</v>
      </c>
      <c r="B68" t="s">
        <v>101</v>
      </c>
      <c r="C68" s="1">
        <v>-30311</v>
      </c>
      <c r="D68" s="1">
        <v>-22680</v>
      </c>
      <c r="E68" s="1">
        <v>-96970</v>
      </c>
      <c r="F68" s="1">
        <v>-72599</v>
      </c>
      <c r="G68" s="1">
        <v>-139500</v>
      </c>
    </row>
    <row r="69" spans="1:7" x14ac:dyDescent="0.2">
      <c r="A69" t="s">
        <v>132</v>
      </c>
      <c r="B69" t="s">
        <v>103</v>
      </c>
      <c r="C69" s="1">
        <v>0</v>
      </c>
      <c r="D69" s="1">
        <v>0</v>
      </c>
      <c r="E69" s="1">
        <v>5250</v>
      </c>
      <c r="F69" s="1">
        <v>-5746</v>
      </c>
      <c r="G69" s="1">
        <v>0</v>
      </c>
    </row>
    <row r="70" spans="1:7" x14ac:dyDescent="0.2">
      <c r="A70" t="s">
        <v>132</v>
      </c>
      <c r="B70" t="s">
        <v>104</v>
      </c>
      <c r="C70" s="1">
        <v>0</v>
      </c>
      <c r="D70" s="1">
        <v>0</v>
      </c>
      <c r="E70" s="1">
        <v>24395</v>
      </c>
      <c r="F70" s="1">
        <v>0</v>
      </c>
      <c r="G70" s="1">
        <v>0</v>
      </c>
    </row>
    <row r="71" spans="1:7" x14ac:dyDescent="0.2">
      <c r="A71" t="s">
        <v>132</v>
      </c>
      <c r="B71" t="s">
        <v>105</v>
      </c>
      <c r="C71" s="1">
        <v>-9023</v>
      </c>
      <c r="D71" s="1">
        <v>-2750</v>
      </c>
      <c r="E71" s="1">
        <v>-29070</v>
      </c>
      <c r="F71" s="1">
        <v>-3216</v>
      </c>
      <c r="G71" s="1">
        <v>-3000</v>
      </c>
    </row>
    <row r="72" spans="1:7" x14ac:dyDescent="0.2">
      <c r="A72" t="s">
        <v>132</v>
      </c>
      <c r="B72" t="s">
        <v>106</v>
      </c>
      <c r="C72" s="1">
        <v>1841</v>
      </c>
      <c r="D72" s="1">
        <v>1866</v>
      </c>
      <c r="E72" s="1">
        <v>2002</v>
      </c>
      <c r="F72" s="1">
        <v>2056</v>
      </c>
      <c r="G72" s="1">
        <v>2009</v>
      </c>
    </row>
    <row r="73" spans="1:7" x14ac:dyDescent="0.2">
      <c r="A73" t="s">
        <v>132</v>
      </c>
      <c r="B73" t="s">
        <v>34</v>
      </c>
      <c r="C73" s="1">
        <v>-32696</v>
      </c>
      <c r="D73" s="1">
        <v>-22245</v>
      </c>
      <c r="E73" s="1">
        <v>-17254</v>
      </c>
      <c r="F73" s="1">
        <v>-18420</v>
      </c>
      <c r="G73" s="1">
        <v>-22271</v>
      </c>
    </row>
    <row r="74" spans="1:7" x14ac:dyDescent="0.2">
      <c r="A74" t="s">
        <v>132</v>
      </c>
      <c r="B74" t="s">
        <v>107</v>
      </c>
      <c r="C74" s="1">
        <v>-18135</v>
      </c>
      <c r="D74" s="1">
        <v>-19800</v>
      </c>
      <c r="E74" s="1">
        <v>-21771</v>
      </c>
      <c r="F74" s="1">
        <v>-24082</v>
      </c>
      <c r="G74" s="1">
        <v>-26445</v>
      </c>
    </row>
    <row r="75" spans="1:7" x14ac:dyDescent="0.2">
      <c r="A75" t="s">
        <v>132</v>
      </c>
      <c r="B75" t="s">
        <v>108</v>
      </c>
      <c r="C75" s="1">
        <v>-863</v>
      </c>
      <c r="D75" s="1">
        <v>-1006</v>
      </c>
      <c r="E75" s="1">
        <v>-1309</v>
      </c>
      <c r="F75" s="1">
        <v>-2291</v>
      </c>
      <c r="G75" s="1">
        <v>-2839</v>
      </c>
    </row>
    <row r="76" spans="1:7" x14ac:dyDescent="0.2">
      <c r="A76" t="s">
        <v>132</v>
      </c>
      <c r="B76" t="s">
        <v>109</v>
      </c>
      <c r="C76" s="1">
        <v>-58876</v>
      </c>
      <c r="D76" s="1">
        <v>-43935</v>
      </c>
      <c r="E76" s="1">
        <v>-37757</v>
      </c>
      <c r="F76" s="1">
        <v>-51699</v>
      </c>
      <c r="G76" s="1">
        <v>-52546</v>
      </c>
    </row>
    <row r="77" spans="1:7" x14ac:dyDescent="0.2">
      <c r="A77" t="s">
        <v>132</v>
      </c>
      <c r="B77" t="s">
        <v>134</v>
      </c>
      <c r="C77" s="1">
        <v>-141</v>
      </c>
      <c r="D77" s="1">
        <v>-194</v>
      </c>
      <c r="E77" s="1">
        <v>-210</v>
      </c>
      <c r="F77" s="1">
        <v>63</v>
      </c>
      <c r="G77" s="1">
        <v>-196</v>
      </c>
    </row>
    <row r="78" spans="1:7" x14ac:dyDescent="0.2">
      <c r="A78" t="s">
        <v>132</v>
      </c>
      <c r="B78" t="s">
        <v>35</v>
      </c>
      <c r="C78" s="1">
        <v>-293</v>
      </c>
      <c r="D78" s="1">
        <v>20773</v>
      </c>
      <c r="E78" s="1">
        <v>-16389</v>
      </c>
      <c r="F78" s="1">
        <v>11927</v>
      </c>
      <c r="G78" s="1">
        <v>-9307</v>
      </c>
    </row>
    <row r="79" spans="1:7" x14ac:dyDescent="0.2">
      <c r="A79" t="s">
        <v>132</v>
      </c>
      <c r="B79" t="s">
        <v>111</v>
      </c>
      <c r="C79" s="1">
        <v>14224</v>
      </c>
      <c r="D79" s="1">
        <v>13931</v>
      </c>
      <c r="E79" s="1">
        <v>34704</v>
      </c>
      <c r="F79" s="1">
        <v>18315</v>
      </c>
      <c r="G79" s="1">
        <v>30242</v>
      </c>
    </row>
    <row r="80" spans="1:7" x14ac:dyDescent="0.2">
      <c r="A80" t="s">
        <v>132</v>
      </c>
      <c r="B80" t="s">
        <v>112</v>
      </c>
      <c r="C80" s="1">
        <v>13931</v>
      </c>
      <c r="D80" s="1">
        <v>34704</v>
      </c>
      <c r="E80" s="1">
        <v>18315</v>
      </c>
      <c r="F80" s="1">
        <v>30242</v>
      </c>
      <c r="G80" s="1">
        <v>20935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1B21-EF08-A042-939A-D7BF2628C219}">
  <dimension ref="A1:F28"/>
  <sheetViews>
    <sheetView workbookViewId="0">
      <selection activeCell="B3" sqref="B3"/>
    </sheetView>
  </sheetViews>
  <sheetFormatPr baseColWidth="10" defaultRowHeight="16" x14ac:dyDescent="0.2"/>
  <cols>
    <col min="1" max="1" width="25.1640625" customWidth="1"/>
    <col min="2" max="2" width="12.5" customWidth="1"/>
    <col min="3" max="3" width="12.6640625" customWidth="1"/>
    <col min="4" max="4" width="12" customWidth="1"/>
    <col min="5" max="5" width="11.1640625" customWidth="1"/>
    <col min="6" max="6" width="13" customWidth="1"/>
  </cols>
  <sheetData>
    <row r="1" spans="1:6" s="3" customFormat="1" x14ac:dyDescent="0.2">
      <c r="A1" s="3" t="s">
        <v>57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</row>
    <row r="3" spans="1:6" x14ac:dyDescent="0.2">
      <c r="A3" t="s">
        <v>5</v>
      </c>
      <c r="B3" s="5">
        <v>198270</v>
      </c>
      <c r="C3" s="5">
        <v>211915</v>
      </c>
      <c r="D3" s="5">
        <v>245122</v>
      </c>
      <c r="E3" s="5">
        <v>281724</v>
      </c>
      <c r="F3" s="5">
        <v>331839</v>
      </c>
    </row>
    <row r="4" spans="1:6" x14ac:dyDescent="0.2">
      <c r="A4" t="s">
        <v>6</v>
      </c>
      <c r="B4" s="5">
        <v>62650</v>
      </c>
      <c r="C4" s="5">
        <v>65863</v>
      </c>
      <c r="D4" s="5">
        <v>74114</v>
      </c>
      <c r="E4" s="5">
        <v>87831</v>
      </c>
      <c r="F4" s="5">
        <v>106374</v>
      </c>
    </row>
    <row r="5" spans="1:6" x14ac:dyDescent="0.2">
      <c r="A5" t="s">
        <v>7</v>
      </c>
      <c r="B5" s="5">
        <v>135620</v>
      </c>
      <c r="C5" s="5">
        <v>146052</v>
      </c>
      <c r="D5" s="5">
        <v>171008</v>
      </c>
      <c r="E5" s="5">
        <v>193893</v>
      </c>
      <c r="F5" s="5">
        <v>225465</v>
      </c>
    </row>
    <row r="6" spans="1:6" x14ac:dyDescent="0.2">
      <c r="A6" t="s">
        <v>8</v>
      </c>
      <c r="B6" s="5">
        <v>24512</v>
      </c>
      <c r="C6" s="5">
        <v>27195</v>
      </c>
      <c r="D6" s="5">
        <v>29510</v>
      </c>
      <c r="E6" s="5">
        <v>32488</v>
      </c>
      <c r="F6" s="5">
        <v>35562</v>
      </c>
    </row>
    <row r="7" spans="1:6" x14ac:dyDescent="0.2">
      <c r="A7" t="s">
        <v>9</v>
      </c>
      <c r="B7" s="5">
        <v>21825</v>
      </c>
      <c r="C7" s="5">
        <v>22759</v>
      </c>
      <c r="D7" s="5">
        <v>24456</v>
      </c>
      <c r="E7" s="5">
        <v>25654</v>
      </c>
      <c r="F7" s="5">
        <v>26710</v>
      </c>
    </row>
    <row r="8" spans="1:6" x14ac:dyDescent="0.2">
      <c r="A8" t="s">
        <v>10</v>
      </c>
      <c r="B8" s="5">
        <v>5900</v>
      </c>
      <c r="C8" s="5">
        <v>7575</v>
      </c>
      <c r="D8" s="5">
        <v>7609</v>
      </c>
      <c r="E8" s="5">
        <v>7223</v>
      </c>
      <c r="F8" s="5">
        <v>7956</v>
      </c>
    </row>
    <row r="9" spans="1:6" x14ac:dyDescent="0.2">
      <c r="A9" t="s">
        <v>11</v>
      </c>
      <c r="B9" s="5">
        <v>83383</v>
      </c>
      <c r="C9" s="5">
        <v>88523</v>
      </c>
      <c r="D9" s="5">
        <v>109433</v>
      </c>
      <c r="E9" s="5">
        <v>128528</v>
      </c>
      <c r="F9" s="5">
        <v>155237</v>
      </c>
    </row>
    <row r="10" spans="1:6" x14ac:dyDescent="0.2">
      <c r="A10" t="s">
        <v>12</v>
      </c>
      <c r="B10">
        <v>333</v>
      </c>
      <c r="C10">
        <v>788</v>
      </c>
      <c r="D10" s="5">
        <v>-1646</v>
      </c>
      <c r="E10" s="5">
        <v>-4901</v>
      </c>
      <c r="F10" s="5">
        <v>10697</v>
      </c>
    </row>
    <row r="11" spans="1:6" x14ac:dyDescent="0.2">
      <c r="A11" t="s">
        <v>13</v>
      </c>
      <c r="B11" s="5">
        <v>83716</v>
      </c>
      <c r="C11" s="5">
        <v>89311</v>
      </c>
      <c r="D11" s="5">
        <v>107787</v>
      </c>
      <c r="E11" s="5">
        <v>123627</v>
      </c>
      <c r="F11" s="5">
        <v>165934</v>
      </c>
    </row>
    <row r="12" spans="1:6" x14ac:dyDescent="0.2">
      <c r="A12" t="s">
        <v>14</v>
      </c>
      <c r="B12" s="5">
        <v>10978</v>
      </c>
      <c r="C12" s="5">
        <v>16950</v>
      </c>
      <c r="D12" s="5">
        <v>19651</v>
      </c>
      <c r="E12" s="5">
        <v>21795</v>
      </c>
      <c r="F12" s="5">
        <v>32185</v>
      </c>
    </row>
    <row r="13" spans="1:6" x14ac:dyDescent="0.2">
      <c r="A13" t="s">
        <v>15</v>
      </c>
      <c r="B13" s="5">
        <v>72738</v>
      </c>
      <c r="C13" s="5">
        <v>72361</v>
      </c>
      <c r="D13" s="5">
        <v>88136</v>
      </c>
      <c r="E13" s="5">
        <v>101832</v>
      </c>
      <c r="F13" s="5">
        <v>133749</v>
      </c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5"/>
      <c r="C18" s="5"/>
      <c r="D18" s="5"/>
      <c r="E18" s="5"/>
      <c r="F18" s="5"/>
    </row>
    <row r="19" spans="1:6" x14ac:dyDescent="0.2">
      <c r="A19" s="2"/>
      <c r="B19" s="5"/>
      <c r="C19" s="5"/>
      <c r="D19" s="5"/>
      <c r="E19" s="5"/>
      <c r="F19" s="5"/>
    </row>
    <row r="20" spans="1:6" x14ac:dyDescent="0.2">
      <c r="A20" s="2"/>
      <c r="B20" s="5"/>
      <c r="C20" s="5"/>
      <c r="D20" s="5"/>
      <c r="E20" s="5"/>
      <c r="F20" s="5"/>
    </row>
    <row r="21" spans="1:6" x14ac:dyDescent="0.2">
      <c r="A21" s="2"/>
      <c r="B21" s="5"/>
      <c r="C21" s="5"/>
      <c r="D21" s="5"/>
      <c r="E21" s="5"/>
      <c r="F21" s="5"/>
    </row>
    <row r="22" spans="1:6" x14ac:dyDescent="0.2">
      <c r="A22" s="2"/>
      <c r="B22" s="5"/>
      <c r="C22" s="5"/>
      <c r="D22" s="5"/>
      <c r="E22" s="5"/>
      <c r="F22" s="5"/>
    </row>
    <row r="23" spans="1:6" x14ac:dyDescent="0.2">
      <c r="A23" s="2"/>
      <c r="B23" s="5"/>
      <c r="C23" s="5"/>
      <c r="D23" s="5"/>
      <c r="E23" s="5"/>
      <c r="F23" s="5"/>
    </row>
    <row r="24" spans="1:6" x14ac:dyDescent="0.2">
      <c r="A24" s="2"/>
      <c r="B24" s="5"/>
      <c r="C24" s="5"/>
      <c r="D24" s="5"/>
      <c r="E24" s="5"/>
      <c r="F24" s="5"/>
    </row>
    <row r="25" spans="1:6" x14ac:dyDescent="0.2">
      <c r="A25" s="2"/>
      <c r="D25" s="5"/>
      <c r="E25" s="5"/>
      <c r="F25" s="5"/>
    </row>
    <row r="26" spans="1:6" x14ac:dyDescent="0.2">
      <c r="A26" s="2"/>
      <c r="B26" s="5"/>
      <c r="C26" s="5"/>
      <c r="D26" s="5"/>
      <c r="E26" s="5"/>
      <c r="F26" s="5"/>
    </row>
    <row r="27" spans="1:6" x14ac:dyDescent="0.2">
      <c r="A27" s="2"/>
      <c r="B27" s="5"/>
      <c r="C27" s="5"/>
      <c r="D27" s="5"/>
      <c r="E27" s="5"/>
      <c r="F27" s="5"/>
    </row>
    <row r="28" spans="1:6" x14ac:dyDescent="0.2">
      <c r="A28" s="2"/>
      <c r="B28" s="5"/>
      <c r="C28" s="5"/>
      <c r="D28" s="5"/>
      <c r="E28" s="5"/>
      <c r="F2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3E4D-8D97-C444-AF93-6CA706D1B52A}">
  <dimension ref="A1:F37"/>
  <sheetViews>
    <sheetView workbookViewId="0">
      <selection activeCell="K26" sqref="K26"/>
    </sheetView>
  </sheetViews>
  <sheetFormatPr baseColWidth="10" defaultRowHeight="16" x14ac:dyDescent="0.2"/>
  <cols>
    <col min="1" max="1" width="34.83203125" customWidth="1"/>
    <col min="2" max="2" width="12.6640625" customWidth="1"/>
    <col min="3" max="4" width="12" customWidth="1"/>
    <col min="5" max="5" width="11.83203125" customWidth="1"/>
    <col min="6" max="6" width="12.6640625" customWidth="1"/>
  </cols>
  <sheetData>
    <row r="1" spans="1:6" s="3" customFormat="1" x14ac:dyDescent="0.2">
      <c r="A1" s="3" t="s">
        <v>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">
      <c r="A2" s="2" t="s">
        <v>60</v>
      </c>
    </row>
    <row r="3" spans="1:6" x14ac:dyDescent="0.2">
      <c r="A3" t="s">
        <v>61</v>
      </c>
      <c r="B3" s="5">
        <v>13931</v>
      </c>
      <c r="C3" s="5">
        <v>34704</v>
      </c>
      <c r="D3" s="5">
        <v>18315</v>
      </c>
      <c r="E3" s="5">
        <v>30242</v>
      </c>
      <c r="F3" s="5">
        <v>20935</v>
      </c>
    </row>
    <row r="4" spans="1:6" x14ac:dyDescent="0.2">
      <c r="A4" t="s">
        <v>29</v>
      </c>
      <c r="B4" s="5">
        <v>90826</v>
      </c>
      <c r="C4" s="5">
        <v>76558</v>
      </c>
      <c r="D4" s="5">
        <v>57228</v>
      </c>
      <c r="E4" s="5">
        <v>64323</v>
      </c>
      <c r="F4" s="5">
        <v>55908</v>
      </c>
    </row>
    <row r="5" spans="1:6" x14ac:dyDescent="0.2">
      <c r="A5" t="s">
        <v>16</v>
      </c>
      <c r="B5" s="5">
        <v>44261</v>
      </c>
      <c r="C5" s="5">
        <v>48688</v>
      </c>
      <c r="D5" s="5">
        <v>56924</v>
      </c>
      <c r="E5" s="5">
        <v>69905</v>
      </c>
      <c r="F5" s="5">
        <v>80876</v>
      </c>
    </row>
    <row r="6" spans="1:6" x14ac:dyDescent="0.2">
      <c r="A6" t="s">
        <v>17</v>
      </c>
      <c r="B6" s="5">
        <v>3742</v>
      </c>
      <c r="C6" s="5">
        <v>2500</v>
      </c>
      <c r="D6" s="5">
        <v>1246</v>
      </c>
      <c r="E6">
        <v>938</v>
      </c>
      <c r="F6" s="5">
        <v>1397</v>
      </c>
    </row>
    <row r="7" spans="1:6" x14ac:dyDescent="0.2">
      <c r="A7" t="s">
        <v>18</v>
      </c>
      <c r="B7" s="5">
        <v>16924</v>
      </c>
      <c r="C7" s="5">
        <v>21807</v>
      </c>
      <c r="D7" s="5">
        <v>26021</v>
      </c>
      <c r="E7" s="5">
        <v>25723</v>
      </c>
      <c r="F7" s="5">
        <v>48594</v>
      </c>
    </row>
    <row r="8" spans="1:6" x14ac:dyDescent="0.2">
      <c r="A8" s="2" t="s">
        <v>19</v>
      </c>
      <c r="B8" s="6">
        <v>169684</v>
      </c>
      <c r="C8" s="6">
        <v>184257</v>
      </c>
      <c r="D8" s="6">
        <v>159734</v>
      </c>
      <c r="E8" s="6">
        <v>191131</v>
      </c>
      <c r="F8" s="6">
        <v>207710</v>
      </c>
    </row>
    <row r="9" spans="1:6" x14ac:dyDescent="0.2">
      <c r="A9" t="s">
        <v>62</v>
      </c>
      <c r="B9" s="5">
        <v>74398</v>
      </c>
      <c r="C9" s="5">
        <v>95641</v>
      </c>
      <c r="D9" s="5">
        <v>135591</v>
      </c>
      <c r="E9" s="5">
        <v>204966</v>
      </c>
      <c r="F9" s="5">
        <v>313076</v>
      </c>
    </row>
    <row r="10" spans="1:6" x14ac:dyDescent="0.2">
      <c r="A10" t="s">
        <v>63</v>
      </c>
      <c r="B10" s="5">
        <v>13148</v>
      </c>
      <c r="C10" s="5">
        <v>14346</v>
      </c>
      <c r="D10" s="5">
        <v>18961</v>
      </c>
      <c r="E10" s="5">
        <v>24823</v>
      </c>
      <c r="F10" s="5">
        <v>24177</v>
      </c>
    </row>
    <row r="11" spans="1:6" x14ac:dyDescent="0.2">
      <c r="A11" t="s">
        <v>64</v>
      </c>
      <c r="B11" s="5">
        <v>6891</v>
      </c>
      <c r="C11" s="5">
        <v>9879</v>
      </c>
      <c r="D11" s="5">
        <v>14600</v>
      </c>
      <c r="E11" s="5">
        <v>15405</v>
      </c>
      <c r="F11" s="5">
        <v>36348</v>
      </c>
    </row>
    <row r="12" spans="1:6" x14ac:dyDescent="0.2">
      <c r="A12" t="s">
        <v>20</v>
      </c>
      <c r="B12" s="5">
        <v>67524</v>
      </c>
      <c r="C12" s="5">
        <v>67886</v>
      </c>
      <c r="D12" s="5">
        <v>119220</v>
      </c>
      <c r="E12" s="5">
        <v>119509</v>
      </c>
      <c r="F12" s="5">
        <v>119651</v>
      </c>
    </row>
    <row r="13" spans="1:6" x14ac:dyDescent="0.2">
      <c r="A13" t="s">
        <v>65</v>
      </c>
      <c r="B13" s="5">
        <v>11298</v>
      </c>
      <c r="C13" s="5">
        <v>9366</v>
      </c>
      <c r="D13" s="5">
        <v>27597</v>
      </c>
      <c r="E13" s="5">
        <v>22604</v>
      </c>
      <c r="F13" s="5">
        <v>18609</v>
      </c>
    </row>
    <row r="14" spans="1:6" x14ac:dyDescent="0.2">
      <c r="A14" t="s">
        <v>21</v>
      </c>
      <c r="B14" s="5">
        <v>21897</v>
      </c>
      <c r="C14" s="5">
        <v>30601</v>
      </c>
      <c r="D14" s="5">
        <v>36460</v>
      </c>
      <c r="E14" s="5">
        <v>40565</v>
      </c>
      <c r="F14" s="5">
        <v>38805</v>
      </c>
    </row>
    <row r="15" spans="1:6" x14ac:dyDescent="0.2">
      <c r="A15" s="2" t="s">
        <v>22</v>
      </c>
      <c r="B15" s="6">
        <v>364840</v>
      </c>
      <c r="C15" s="6">
        <v>411976</v>
      </c>
      <c r="D15" s="6">
        <v>512163</v>
      </c>
      <c r="E15" s="6">
        <v>619003</v>
      </c>
      <c r="F15" s="6">
        <v>758376</v>
      </c>
    </row>
    <row r="16" spans="1:6" x14ac:dyDescent="0.2">
      <c r="A16" s="2" t="s">
        <v>66</v>
      </c>
    </row>
    <row r="17" spans="1:6" x14ac:dyDescent="0.2">
      <c r="A17" t="s">
        <v>23</v>
      </c>
      <c r="B17" s="5">
        <v>19000</v>
      </c>
      <c r="C17" s="5">
        <v>18095</v>
      </c>
      <c r="D17" s="5">
        <v>21996</v>
      </c>
      <c r="E17" s="5">
        <v>27724</v>
      </c>
      <c r="F17" s="5">
        <v>42416</v>
      </c>
    </row>
    <row r="18" spans="1:6" x14ac:dyDescent="0.2">
      <c r="A18" t="s">
        <v>67</v>
      </c>
      <c r="B18">
        <v>0</v>
      </c>
      <c r="C18">
        <v>0</v>
      </c>
      <c r="D18" s="5">
        <v>6693</v>
      </c>
      <c r="E18">
        <v>0</v>
      </c>
      <c r="F18">
        <v>0</v>
      </c>
    </row>
    <row r="19" spans="1:6" x14ac:dyDescent="0.2">
      <c r="A19" t="s">
        <v>68</v>
      </c>
      <c r="B19" s="5">
        <v>2749</v>
      </c>
      <c r="C19" s="5">
        <v>5247</v>
      </c>
      <c r="D19" s="5">
        <v>2249</v>
      </c>
      <c r="E19" s="5">
        <v>2999</v>
      </c>
      <c r="F19" s="5">
        <v>9227</v>
      </c>
    </row>
    <row r="20" spans="1:6" x14ac:dyDescent="0.2">
      <c r="A20" t="s">
        <v>69</v>
      </c>
      <c r="B20" s="5">
        <v>10661</v>
      </c>
      <c r="C20" s="5">
        <v>11009</v>
      </c>
      <c r="D20" s="5">
        <v>12564</v>
      </c>
      <c r="E20" s="5">
        <v>13709</v>
      </c>
      <c r="F20" s="5">
        <v>14945</v>
      </c>
    </row>
    <row r="21" spans="1:6" x14ac:dyDescent="0.2">
      <c r="A21" t="s">
        <v>70</v>
      </c>
      <c r="B21" s="5">
        <v>4067</v>
      </c>
      <c r="C21" s="5">
        <v>4152</v>
      </c>
      <c r="D21" s="5">
        <v>5017</v>
      </c>
      <c r="E21" s="5">
        <v>7211</v>
      </c>
      <c r="F21" s="5">
        <v>2534</v>
      </c>
    </row>
    <row r="22" spans="1:6" x14ac:dyDescent="0.2">
      <c r="A22" t="s">
        <v>71</v>
      </c>
      <c r="B22" s="5">
        <v>45538</v>
      </c>
      <c r="C22" s="5">
        <v>50901</v>
      </c>
      <c r="D22" s="5">
        <v>57582</v>
      </c>
      <c r="E22" s="5">
        <v>64555</v>
      </c>
      <c r="F22" s="5">
        <v>72965</v>
      </c>
    </row>
    <row r="23" spans="1:6" x14ac:dyDescent="0.2">
      <c r="A23" t="s">
        <v>24</v>
      </c>
      <c r="B23" s="5">
        <v>13067</v>
      </c>
      <c r="C23" s="5">
        <v>14745</v>
      </c>
      <c r="D23" s="5">
        <v>19185</v>
      </c>
      <c r="E23" s="5">
        <v>25020</v>
      </c>
      <c r="F23" s="5">
        <v>26738</v>
      </c>
    </row>
    <row r="24" spans="1:6" x14ac:dyDescent="0.2">
      <c r="A24" s="2" t="s">
        <v>25</v>
      </c>
      <c r="B24" s="6">
        <v>95082</v>
      </c>
      <c r="C24" s="6">
        <v>104149</v>
      </c>
      <c r="D24" s="6">
        <v>125286</v>
      </c>
      <c r="E24" s="6">
        <v>141218</v>
      </c>
      <c r="F24" s="6">
        <v>168825</v>
      </c>
    </row>
    <row r="25" spans="1:6" x14ac:dyDescent="0.2">
      <c r="A25" t="s">
        <v>26</v>
      </c>
      <c r="B25" s="5">
        <v>47032</v>
      </c>
      <c r="C25" s="5">
        <v>41990</v>
      </c>
      <c r="D25" s="5">
        <v>42688</v>
      </c>
      <c r="E25" s="5">
        <v>40152</v>
      </c>
      <c r="F25" s="5">
        <v>31067</v>
      </c>
    </row>
    <row r="26" spans="1:6" x14ac:dyDescent="0.2">
      <c r="A26" t="s">
        <v>72</v>
      </c>
      <c r="B26" s="5">
        <v>26069</v>
      </c>
      <c r="C26" s="5">
        <v>25560</v>
      </c>
      <c r="D26" s="5">
        <v>27931</v>
      </c>
      <c r="E26" s="5">
        <v>25986</v>
      </c>
      <c r="F26" s="5">
        <v>28647</v>
      </c>
    </row>
    <row r="27" spans="1:6" x14ac:dyDescent="0.2">
      <c r="A27" t="s">
        <v>73</v>
      </c>
      <c r="B27" s="5">
        <v>2870</v>
      </c>
      <c r="C27" s="5">
        <v>2912</v>
      </c>
      <c r="D27" s="5">
        <v>2602</v>
      </c>
      <c r="E27" s="5">
        <v>2710</v>
      </c>
      <c r="F27" s="5">
        <v>2747</v>
      </c>
    </row>
    <row r="28" spans="1:6" x14ac:dyDescent="0.2">
      <c r="A28" t="s">
        <v>74</v>
      </c>
      <c r="B28">
        <v>230</v>
      </c>
      <c r="C28">
        <v>433</v>
      </c>
      <c r="D28" s="5">
        <v>2618</v>
      </c>
      <c r="E28" s="5">
        <v>2835</v>
      </c>
      <c r="F28" s="5">
        <v>3054</v>
      </c>
    </row>
    <row r="29" spans="1:6" x14ac:dyDescent="0.2">
      <c r="A29" t="s">
        <v>75</v>
      </c>
      <c r="B29" s="5">
        <v>11489</v>
      </c>
      <c r="C29" s="5">
        <v>12728</v>
      </c>
      <c r="D29" s="5">
        <v>15497</v>
      </c>
      <c r="E29" s="5">
        <v>17437</v>
      </c>
      <c r="F29" s="5">
        <v>16532</v>
      </c>
    </row>
    <row r="30" spans="1:6" x14ac:dyDescent="0.2">
      <c r="A30" t="s">
        <v>27</v>
      </c>
      <c r="B30" s="5">
        <v>15526</v>
      </c>
      <c r="C30" s="5">
        <v>17981</v>
      </c>
      <c r="D30" s="5">
        <v>27064</v>
      </c>
      <c r="E30" s="5">
        <v>45186</v>
      </c>
      <c r="F30" s="5">
        <v>65117</v>
      </c>
    </row>
    <row r="31" spans="1:6" x14ac:dyDescent="0.2">
      <c r="A31" s="2" t="s">
        <v>28</v>
      </c>
      <c r="B31" s="6">
        <v>198298</v>
      </c>
      <c r="C31" s="6">
        <v>205753</v>
      </c>
      <c r="D31" s="6">
        <v>243686</v>
      </c>
      <c r="E31" s="6">
        <v>275524</v>
      </c>
      <c r="F31" s="6">
        <v>315989</v>
      </c>
    </row>
    <row r="32" spans="1:6" x14ac:dyDescent="0.2">
      <c r="A32" s="2" t="s">
        <v>76</v>
      </c>
    </row>
    <row r="33" spans="1:6" x14ac:dyDescent="0.2">
      <c r="A33" t="s">
        <v>77</v>
      </c>
      <c r="B33" s="5">
        <v>86939</v>
      </c>
      <c r="C33" s="5">
        <v>93718</v>
      </c>
      <c r="D33" s="5">
        <v>100923</v>
      </c>
      <c r="E33" s="5">
        <v>109095</v>
      </c>
      <c r="F33" s="5">
        <v>117406</v>
      </c>
    </row>
    <row r="34" spans="1:6" x14ac:dyDescent="0.2">
      <c r="A34" t="s">
        <v>78</v>
      </c>
      <c r="B34" s="5">
        <v>84281</v>
      </c>
      <c r="C34" s="5">
        <v>118848</v>
      </c>
      <c r="D34" s="5">
        <v>173144</v>
      </c>
      <c r="E34" s="5">
        <v>237731</v>
      </c>
      <c r="F34" s="5">
        <v>328265</v>
      </c>
    </row>
    <row r="35" spans="1:6" x14ac:dyDescent="0.2">
      <c r="A35" t="s">
        <v>79</v>
      </c>
      <c r="B35" s="5">
        <v>-4678</v>
      </c>
      <c r="C35" s="5">
        <v>-6343</v>
      </c>
      <c r="D35" s="5">
        <v>-5590</v>
      </c>
      <c r="E35" s="5">
        <v>-3347</v>
      </c>
      <c r="F35" s="5">
        <v>-3284</v>
      </c>
    </row>
    <row r="36" spans="1:6" x14ac:dyDescent="0.2">
      <c r="A36" s="2" t="s">
        <v>80</v>
      </c>
      <c r="B36" s="6">
        <v>166542</v>
      </c>
      <c r="C36" s="6">
        <v>206223</v>
      </c>
      <c r="D36" s="6">
        <v>268477</v>
      </c>
      <c r="E36" s="6">
        <v>343479</v>
      </c>
      <c r="F36" s="6">
        <v>442387</v>
      </c>
    </row>
    <row r="37" spans="1:6" x14ac:dyDescent="0.2">
      <c r="A37" s="2" t="s">
        <v>81</v>
      </c>
      <c r="B37" s="6">
        <v>364840</v>
      </c>
      <c r="C37" s="6">
        <v>411976</v>
      </c>
      <c r="D37" s="6">
        <v>512163</v>
      </c>
      <c r="E37" s="6">
        <v>619003</v>
      </c>
      <c r="F37" s="6">
        <v>758376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BF3A-C440-D043-A5B1-7CEA3D246603}">
  <dimension ref="A1:G38"/>
  <sheetViews>
    <sheetView workbookViewId="0">
      <selection activeCell="G4" sqref="G4"/>
    </sheetView>
  </sheetViews>
  <sheetFormatPr baseColWidth="10" defaultRowHeight="16" x14ac:dyDescent="0.2"/>
  <cols>
    <col min="1" max="1" width="38.33203125" customWidth="1"/>
    <col min="2" max="2" width="15.5" customWidth="1"/>
    <col min="3" max="4" width="13" customWidth="1"/>
    <col min="5" max="5" width="12.83203125" customWidth="1"/>
    <col min="6" max="6" width="12" customWidth="1"/>
  </cols>
  <sheetData>
    <row r="1" spans="1:6" s="3" customFormat="1" x14ac:dyDescent="0.2">
      <c r="A1" s="3" t="s">
        <v>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">
      <c r="A2" s="2" t="s">
        <v>83</v>
      </c>
    </row>
    <row r="3" spans="1:6" x14ac:dyDescent="0.2">
      <c r="A3" t="s">
        <v>30</v>
      </c>
      <c r="B3" s="5">
        <v>72738</v>
      </c>
      <c r="C3" s="5">
        <v>72361</v>
      </c>
      <c r="D3" s="5">
        <v>88136</v>
      </c>
      <c r="E3" s="5">
        <v>101832</v>
      </c>
      <c r="F3" s="5">
        <v>133749</v>
      </c>
    </row>
    <row r="4" spans="1:6" x14ac:dyDescent="0.2">
      <c r="A4" t="s">
        <v>84</v>
      </c>
      <c r="B4" s="5">
        <v>14460</v>
      </c>
      <c r="C4" s="5">
        <v>13861</v>
      </c>
      <c r="D4" s="5">
        <v>22287</v>
      </c>
      <c r="E4" s="5">
        <v>29433</v>
      </c>
      <c r="F4" s="5">
        <v>38534</v>
      </c>
    </row>
    <row r="5" spans="1:6" x14ac:dyDescent="0.2">
      <c r="A5" t="s">
        <v>31</v>
      </c>
      <c r="B5" s="5">
        <v>7502</v>
      </c>
      <c r="C5" s="5">
        <v>9611</v>
      </c>
      <c r="D5" s="5">
        <v>10734</v>
      </c>
      <c r="E5" s="5">
        <v>11974</v>
      </c>
      <c r="F5" s="5">
        <v>12405</v>
      </c>
    </row>
    <row r="6" spans="1:6" x14ac:dyDescent="0.2">
      <c r="A6" t="s">
        <v>85</v>
      </c>
      <c r="B6">
        <v>-409</v>
      </c>
      <c r="C6">
        <v>196</v>
      </c>
      <c r="D6">
        <v>305</v>
      </c>
      <c r="E6" s="5">
        <v>5329</v>
      </c>
      <c r="F6" s="5">
        <v>-11047</v>
      </c>
    </row>
    <row r="7" spans="1:6" x14ac:dyDescent="0.2">
      <c r="A7" t="s">
        <v>74</v>
      </c>
      <c r="B7" s="5">
        <v>-5702</v>
      </c>
      <c r="C7" s="5">
        <v>-6059</v>
      </c>
      <c r="D7" s="5">
        <v>-4738</v>
      </c>
      <c r="E7" s="5">
        <v>-7056</v>
      </c>
      <c r="F7" s="5">
        <v>14189</v>
      </c>
    </row>
    <row r="8" spans="1:6" x14ac:dyDescent="0.2">
      <c r="A8" t="s">
        <v>86</v>
      </c>
      <c r="B8" s="5">
        <v>-6834</v>
      </c>
      <c r="C8" s="5">
        <v>-4087</v>
      </c>
      <c r="D8" s="5">
        <v>-7191</v>
      </c>
      <c r="E8" s="5">
        <v>-10581</v>
      </c>
      <c r="F8" s="5">
        <v>-12737</v>
      </c>
    </row>
    <row r="9" spans="1:6" x14ac:dyDescent="0.2">
      <c r="A9" t="s">
        <v>32</v>
      </c>
      <c r="B9" s="5">
        <v>-1123</v>
      </c>
      <c r="C9" s="5">
        <v>1242</v>
      </c>
      <c r="D9" s="5">
        <v>1284</v>
      </c>
      <c r="E9">
        <v>309</v>
      </c>
      <c r="F9">
        <v>-461</v>
      </c>
    </row>
    <row r="10" spans="1:6" x14ac:dyDescent="0.2">
      <c r="A10" t="s">
        <v>87</v>
      </c>
      <c r="B10">
        <v>-709</v>
      </c>
      <c r="C10" s="5">
        <v>-1991</v>
      </c>
      <c r="D10" s="5">
        <v>-1648</v>
      </c>
      <c r="E10" s="5">
        <v>-3044</v>
      </c>
      <c r="F10" s="5">
        <v>-2627</v>
      </c>
    </row>
    <row r="11" spans="1:6" x14ac:dyDescent="0.2">
      <c r="A11" t="s">
        <v>88</v>
      </c>
      <c r="B11" s="5">
        <v>-2805</v>
      </c>
      <c r="C11" s="5">
        <v>-2833</v>
      </c>
      <c r="D11" s="5">
        <v>-6817</v>
      </c>
      <c r="E11" s="5">
        <v>-2950</v>
      </c>
      <c r="F11" s="5">
        <v>-3964</v>
      </c>
    </row>
    <row r="12" spans="1:6" x14ac:dyDescent="0.2">
      <c r="A12" t="s">
        <v>89</v>
      </c>
      <c r="B12" s="5">
        <v>2943</v>
      </c>
      <c r="C12" s="5">
        <v>-2721</v>
      </c>
      <c r="D12" s="5">
        <v>3545</v>
      </c>
      <c r="E12">
        <v>569</v>
      </c>
      <c r="F12" s="5">
        <v>5268</v>
      </c>
    </row>
    <row r="13" spans="1:6" x14ac:dyDescent="0.2">
      <c r="A13" t="s">
        <v>90</v>
      </c>
      <c r="B13" s="5">
        <v>5109</v>
      </c>
      <c r="C13" s="5">
        <v>5535</v>
      </c>
      <c r="D13" s="5">
        <v>5348</v>
      </c>
      <c r="E13" s="5">
        <v>5438</v>
      </c>
      <c r="F13" s="5">
        <v>9361</v>
      </c>
    </row>
    <row r="14" spans="1:6" x14ac:dyDescent="0.2">
      <c r="A14" t="s">
        <v>91</v>
      </c>
      <c r="B14">
        <v>696</v>
      </c>
      <c r="C14">
        <v>-358</v>
      </c>
      <c r="D14" s="5">
        <v>1687</v>
      </c>
      <c r="E14">
        <v>-38</v>
      </c>
      <c r="F14" s="5">
        <v>-1875</v>
      </c>
    </row>
    <row r="15" spans="1:6" x14ac:dyDescent="0.2">
      <c r="A15" t="s">
        <v>92</v>
      </c>
      <c r="B15" s="5">
        <v>2344</v>
      </c>
      <c r="C15" s="5">
        <v>2272</v>
      </c>
      <c r="D15" s="5">
        <v>4867</v>
      </c>
      <c r="E15" s="5">
        <v>5922</v>
      </c>
      <c r="F15" s="5">
        <v>6847</v>
      </c>
    </row>
    <row r="16" spans="1:6" x14ac:dyDescent="0.2">
      <c r="A16" t="s">
        <v>93</v>
      </c>
      <c r="B16">
        <v>825</v>
      </c>
      <c r="C16">
        <v>553</v>
      </c>
      <c r="D16">
        <v>749</v>
      </c>
      <c r="E16">
        <v>-975</v>
      </c>
      <c r="F16" s="5">
        <v>-4707</v>
      </c>
    </row>
    <row r="17" spans="1:7" x14ac:dyDescent="0.2">
      <c r="A17" s="2" t="s">
        <v>94</v>
      </c>
      <c r="B17" s="6">
        <v>89035</v>
      </c>
      <c r="C17" s="6">
        <v>87582</v>
      </c>
      <c r="D17" s="6">
        <v>118548</v>
      </c>
      <c r="E17" s="6">
        <v>136162</v>
      </c>
      <c r="F17" s="6">
        <v>182935</v>
      </c>
    </row>
    <row r="18" spans="1:7" x14ac:dyDescent="0.2">
      <c r="A18" s="2" t="s">
        <v>95</v>
      </c>
      <c r="G18" s="2"/>
    </row>
    <row r="19" spans="1:7" x14ac:dyDescent="0.2">
      <c r="A19" t="s">
        <v>96</v>
      </c>
      <c r="B19" s="5">
        <v>-23886</v>
      </c>
      <c r="C19" s="5">
        <v>-28107</v>
      </c>
      <c r="D19" s="5">
        <v>-44477</v>
      </c>
      <c r="E19" s="5">
        <v>-64551</v>
      </c>
      <c r="F19" s="5">
        <v>-115948</v>
      </c>
    </row>
    <row r="20" spans="1:7" x14ac:dyDescent="0.2">
      <c r="A20" t="s">
        <v>33</v>
      </c>
      <c r="B20" s="5">
        <v>-22038</v>
      </c>
      <c r="C20" s="5">
        <v>-1670</v>
      </c>
      <c r="D20" s="5">
        <v>-69132</v>
      </c>
      <c r="E20" s="5">
        <v>-5978</v>
      </c>
      <c r="F20" s="5">
        <v>-1743</v>
      </c>
    </row>
    <row r="21" spans="1:7" x14ac:dyDescent="0.2">
      <c r="A21" t="s">
        <v>97</v>
      </c>
      <c r="B21" s="5">
        <v>-26456</v>
      </c>
      <c r="C21" s="5">
        <v>-37651</v>
      </c>
      <c r="D21" s="5">
        <v>-17732</v>
      </c>
      <c r="E21" s="5">
        <v>-29775</v>
      </c>
      <c r="F21" s="5">
        <v>-58351</v>
      </c>
    </row>
    <row r="22" spans="1:7" x14ac:dyDescent="0.2">
      <c r="A22" t="s">
        <v>98</v>
      </c>
      <c r="B22" s="5">
        <v>16451</v>
      </c>
      <c r="C22" s="5">
        <v>33510</v>
      </c>
      <c r="D22" s="5">
        <v>24775</v>
      </c>
      <c r="E22" s="5">
        <v>16079</v>
      </c>
      <c r="F22" s="5">
        <v>34605</v>
      </c>
    </row>
    <row r="23" spans="1:7" x14ac:dyDescent="0.2">
      <c r="A23" t="s">
        <v>99</v>
      </c>
      <c r="B23" s="5">
        <v>28443</v>
      </c>
      <c r="C23" s="5">
        <v>14354</v>
      </c>
      <c r="D23" s="5">
        <v>10894</v>
      </c>
      <c r="E23" s="5">
        <v>9309</v>
      </c>
      <c r="F23" s="5">
        <v>21798</v>
      </c>
    </row>
    <row r="24" spans="1:7" x14ac:dyDescent="0.2">
      <c r="A24" t="s">
        <v>100</v>
      </c>
      <c r="B24" s="5">
        <v>-2825</v>
      </c>
      <c r="C24" s="5">
        <v>-3116</v>
      </c>
      <c r="D24" s="5">
        <v>-1298</v>
      </c>
      <c r="E24" s="5">
        <v>2317</v>
      </c>
      <c r="F24" s="5">
        <v>-19861</v>
      </c>
    </row>
    <row r="25" spans="1:7" x14ac:dyDescent="0.2">
      <c r="A25" s="2" t="s">
        <v>101</v>
      </c>
      <c r="B25" s="6">
        <v>-30311</v>
      </c>
      <c r="C25" s="6">
        <v>-22680</v>
      </c>
      <c r="D25" s="6">
        <v>-96970</v>
      </c>
      <c r="E25" s="6">
        <v>-72599</v>
      </c>
      <c r="F25" s="6">
        <v>-139500</v>
      </c>
    </row>
    <row r="26" spans="1:7" x14ac:dyDescent="0.2">
      <c r="A26" s="2" t="s">
        <v>102</v>
      </c>
    </row>
    <row r="27" spans="1:7" x14ac:dyDescent="0.2">
      <c r="A27" t="s">
        <v>103</v>
      </c>
      <c r="B27">
        <v>0</v>
      </c>
      <c r="C27">
        <v>0</v>
      </c>
      <c r="D27" s="5">
        <v>5250</v>
      </c>
      <c r="E27" s="5">
        <v>-5746</v>
      </c>
      <c r="F27">
        <v>0</v>
      </c>
    </row>
    <row r="28" spans="1:7" x14ac:dyDescent="0.2">
      <c r="A28" t="s">
        <v>104</v>
      </c>
      <c r="B28">
        <v>0</v>
      </c>
      <c r="C28">
        <v>0</v>
      </c>
      <c r="D28" s="5">
        <v>24395</v>
      </c>
      <c r="E28">
        <v>0</v>
      </c>
      <c r="F28">
        <v>0</v>
      </c>
    </row>
    <row r="29" spans="1:7" x14ac:dyDescent="0.2">
      <c r="A29" t="s">
        <v>105</v>
      </c>
      <c r="B29" s="5">
        <v>-9023</v>
      </c>
      <c r="C29" s="5">
        <v>-2750</v>
      </c>
      <c r="D29" s="5">
        <v>-29070</v>
      </c>
      <c r="E29" s="5">
        <v>-3216</v>
      </c>
      <c r="F29" s="5">
        <v>-3000</v>
      </c>
    </row>
    <row r="30" spans="1:7" x14ac:dyDescent="0.2">
      <c r="A30" t="s">
        <v>106</v>
      </c>
      <c r="B30" s="5">
        <v>1841</v>
      </c>
      <c r="C30" s="5">
        <v>1866</v>
      </c>
      <c r="D30" s="5">
        <v>2002</v>
      </c>
      <c r="E30" s="5">
        <v>2056</v>
      </c>
      <c r="F30" s="5">
        <v>2009</v>
      </c>
    </row>
    <row r="31" spans="1:7" x14ac:dyDescent="0.2">
      <c r="A31" t="s">
        <v>34</v>
      </c>
      <c r="B31" s="5">
        <v>-32696</v>
      </c>
      <c r="C31" s="5">
        <v>-22245</v>
      </c>
      <c r="D31" s="5">
        <v>-17254</v>
      </c>
      <c r="E31" s="5">
        <v>-18420</v>
      </c>
      <c r="F31" s="5">
        <v>-22271</v>
      </c>
    </row>
    <row r="32" spans="1:7" x14ac:dyDescent="0.2">
      <c r="A32" t="s">
        <v>107</v>
      </c>
      <c r="B32" s="5">
        <v>-18135</v>
      </c>
      <c r="C32" s="5">
        <v>-19800</v>
      </c>
      <c r="D32" s="5">
        <v>-21771</v>
      </c>
      <c r="E32" s="5">
        <v>-24082</v>
      </c>
      <c r="F32" s="5">
        <v>-26445</v>
      </c>
    </row>
    <row r="33" spans="1:6" x14ac:dyDescent="0.2">
      <c r="A33" t="s">
        <v>108</v>
      </c>
      <c r="B33">
        <v>-863</v>
      </c>
      <c r="C33" s="5">
        <v>-1006</v>
      </c>
      <c r="D33" s="5">
        <v>-1309</v>
      </c>
      <c r="E33" s="5">
        <v>-2291</v>
      </c>
      <c r="F33" s="5">
        <v>-2839</v>
      </c>
    </row>
    <row r="34" spans="1:6" x14ac:dyDescent="0.2">
      <c r="A34" s="2" t="s">
        <v>109</v>
      </c>
      <c r="B34" s="6">
        <v>-58876</v>
      </c>
      <c r="C34" s="6">
        <v>-43935</v>
      </c>
      <c r="D34" s="6">
        <v>-37757</v>
      </c>
      <c r="E34" s="6">
        <v>-51699</v>
      </c>
      <c r="F34" s="6">
        <v>-52546</v>
      </c>
    </row>
    <row r="35" spans="1:6" x14ac:dyDescent="0.2">
      <c r="A35" t="s">
        <v>110</v>
      </c>
      <c r="B35">
        <v>-141</v>
      </c>
      <c r="C35">
        <v>-194</v>
      </c>
      <c r="D35">
        <v>-210</v>
      </c>
      <c r="E35">
        <v>63</v>
      </c>
      <c r="F35">
        <v>-196</v>
      </c>
    </row>
    <row r="36" spans="1:6" x14ac:dyDescent="0.2">
      <c r="A36" s="2" t="s">
        <v>35</v>
      </c>
      <c r="B36" s="2">
        <v>-293</v>
      </c>
      <c r="C36" s="6">
        <v>20773</v>
      </c>
      <c r="D36" s="6">
        <v>-16389</v>
      </c>
      <c r="E36" s="6">
        <v>11927</v>
      </c>
      <c r="F36" s="6">
        <v>-9307</v>
      </c>
    </row>
    <row r="37" spans="1:6" x14ac:dyDescent="0.2">
      <c r="A37" t="s">
        <v>111</v>
      </c>
      <c r="B37" s="5">
        <v>14224</v>
      </c>
      <c r="C37" s="5">
        <v>13931</v>
      </c>
      <c r="D37" s="5">
        <v>34704</v>
      </c>
      <c r="E37" s="5">
        <v>18315</v>
      </c>
      <c r="F37" s="5">
        <v>30242</v>
      </c>
    </row>
    <row r="38" spans="1:6" x14ac:dyDescent="0.2">
      <c r="A38" s="2" t="s">
        <v>112</v>
      </c>
      <c r="B38" s="6">
        <v>13931</v>
      </c>
      <c r="C38" s="6">
        <v>34704</v>
      </c>
      <c r="D38" s="6">
        <v>18315</v>
      </c>
      <c r="E38" s="6">
        <v>30242</v>
      </c>
      <c r="F38" s="6">
        <v>20935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5A20-AAAF-684F-AF81-1ECA846E2C20}">
  <dimension ref="A1:F23"/>
  <sheetViews>
    <sheetView workbookViewId="0">
      <selection activeCell="F20" sqref="F20"/>
    </sheetView>
  </sheetViews>
  <sheetFormatPr baseColWidth="10" defaultRowHeight="16" x14ac:dyDescent="0.2"/>
  <cols>
    <col min="1" max="1" width="24.6640625" customWidth="1"/>
    <col min="2" max="2" width="15.33203125" customWidth="1"/>
    <col min="3" max="3" width="15" customWidth="1"/>
    <col min="4" max="4" width="14" customWidth="1"/>
    <col min="5" max="5" width="12.6640625" customWidth="1"/>
    <col min="6" max="6" width="14.5" customWidth="1"/>
  </cols>
  <sheetData>
    <row r="1" spans="1:6" s="1" customFormat="1" x14ac:dyDescent="0.2">
      <c r="A1" s="3" t="s">
        <v>36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">
      <c r="A2" s="2"/>
      <c r="B2" s="2"/>
      <c r="C2" s="2"/>
      <c r="D2" s="2"/>
      <c r="E2" s="2"/>
      <c r="F2" s="2"/>
    </row>
    <row r="3" spans="1:6" s="1" customFormat="1" x14ac:dyDescent="0.2">
      <c r="A3" s="11" t="s">
        <v>37</v>
      </c>
      <c r="B3" s="1" t="s">
        <v>119</v>
      </c>
      <c r="C3" s="10">
        <f>((Income_Statement!C3-Income_Statement!B3)/Income_Statement!B3)*100</f>
        <v>6.8820295556564286</v>
      </c>
      <c r="D3" s="10">
        <f>((Income_Statement!D3-Income_Statement!C3)/Income_Statement!C3)*100</f>
        <v>15.669962013071279</v>
      </c>
      <c r="E3" s="10">
        <f>((Income_Statement!E3-Income_Statement!D3)/Income_Statement!D3)*100</f>
        <v>14.932156232406721</v>
      </c>
      <c r="F3" s="10">
        <f>((Income_Statement!F3-Income_Statement!E3)/Income_Statement!E3)*100</f>
        <v>17.788686799846658</v>
      </c>
    </row>
    <row r="4" spans="1:6" s="1" customFormat="1" x14ac:dyDescent="0.2">
      <c r="A4" s="11" t="s">
        <v>113</v>
      </c>
      <c r="B4" s="1" t="s">
        <v>119</v>
      </c>
      <c r="C4" s="10">
        <f>((Income_Statement!C13 - Income_Statement!B13) / Income_Statement!B13) * 100</f>
        <v>-0.51829855096373278</v>
      </c>
      <c r="D4" s="10">
        <f>((Income_Statement!D13 - Income_Statement!C13) / Income_Statement!C13) * 100</f>
        <v>21.800417351888449</v>
      </c>
      <c r="E4" s="10">
        <f>((Income_Statement!E13 - Income_Statement!D13) / Income_Statement!D13) * 100</f>
        <v>15.539620586366523</v>
      </c>
      <c r="F4" s="10">
        <f>((Income_Statement!F13 - Income_Statement!E13) / Income_Statement!E13) * 100</f>
        <v>31.34279990572708</v>
      </c>
    </row>
    <row r="5" spans="1:6" s="1" customFormat="1" x14ac:dyDescent="0.2">
      <c r="A5" s="11" t="s">
        <v>38</v>
      </c>
      <c r="B5" s="9">
        <f xml:space="preserve"> (Income_Statement!B5/Income_Statement!B3) * 100</f>
        <v>68.401674484289103</v>
      </c>
      <c r="C5" s="10">
        <f xml:space="preserve"> (Income_Statement!C5/Income_Statement!C3) * 100</f>
        <v>68.920085883491026</v>
      </c>
      <c r="D5" s="10">
        <f xml:space="preserve"> (Income_Statement!D5/Income_Statement!D3) * 100</f>
        <v>69.764443827971377</v>
      </c>
      <c r="E5" s="10">
        <f xml:space="preserve"> (Income_Statement!E5/Income_Statement!E3) * 100</f>
        <v>68.823742386165193</v>
      </c>
      <c r="F5" s="10">
        <f xml:space="preserve"> (Income_Statement!F5/Income_Statement!F3) * 100</f>
        <v>67.944093370580319</v>
      </c>
    </row>
    <row r="6" spans="1:6" s="1" customFormat="1" x14ac:dyDescent="0.2">
      <c r="A6" s="11" t="s">
        <v>39</v>
      </c>
      <c r="B6" s="9">
        <f xml:space="preserve"> (Income_Statement!B9/Income_Statement!B3) * 100</f>
        <v>42.05527815604983</v>
      </c>
      <c r="C6" s="10">
        <f xml:space="preserve"> (Income_Statement!C9/Income_Statement!C3) * 100</f>
        <v>41.772880636104098</v>
      </c>
      <c r="D6" s="10">
        <f xml:space="preserve"> (Income_Statement!D9/Income_Statement!D3) * 100</f>
        <v>44.644299573273713</v>
      </c>
      <c r="E6" s="10">
        <f xml:space="preserve"> (Income_Statement!E9/Income_Statement!E3) * 100</f>
        <v>45.621956240859852</v>
      </c>
      <c r="F6" s="10">
        <f xml:space="preserve"> (Income_Statement!F9/Income_Statement!F3) * 100</f>
        <v>46.780818408927225</v>
      </c>
    </row>
    <row r="7" spans="1:6" s="1" customFormat="1" x14ac:dyDescent="0.2">
      <c r="A7" s="11" t="s">
        <v>135</v>
      </c>
      <c r="B7" s="7">
        <f>Income_Statement!B9 + Cash_Flow!B4</f>
        <v>97843</v>
      </c>
      <c r="C7" s="7">
        <f>Income_Statement!C9 + Cash_Flow!C4</f>
        <v>102384</v>
      </c>
      <c r="D7" s="7">
        <f>Income_Statement!D9 + Cash_Flow!D4</f>
        <v>131720</v>
      </c>
      <c r="E7" s="7">
        <f>Income_Statement!E9 + Cash_Flow!E4</f>
        <v>157961</v>
      </c>
      <c r="F7" s="7">
        <f>Income_Statement!F9 + Cash_Flow!F4</f>
        <v>193771</v>
      </c>
    </row>
    <row r="8" spans="1:6" s="1" customFormat="1" x14ac:dyDescent="0.2">
      <c r="A8" s="11" t="s">
        <v>136</v>
      </c>
      <c r="B8" s="9">
        <f xml:space="preserve"> (B7/Income_Statement!B3) * 100</f>
        <v>49.348363342916223</v>
      </c>
      <c r="C8" s="10">
        <f xml:space="preserve"> (C7/Income_Statement!C3) * 100</f>
        <v>48.313710685888211</v>
      </c>
      <c r="D8" s="10">
        <f xml:space="preserve"> (D7/Income_Statement!D3) * 100</f>
        <v>53.73650671910314</v>
      </c>
      <c r="E8" s="10">
        <f xml:space="preserve"> (E7/Income_Statement!E3) * 100</f>
        <v>56.069415456262163</v>
      </c>
      <c r="F8" s="10">
        <f xml:space="preserve"> (F7/Income_Statement!F3) * 100</f>
        <v>58.393076160427192</v>
      </c>
    </row>
    <row r="9" spans="1:6" s="1" customFormat="1" x14ac:dyDescent="0.2">
      <c r="A9" s="11" t="s">
        <v>40</v>
      </c>
      <c r="B9" s="9">
        <f>Balance_Sheet!B8 / Balance_Sheet!B24</f>
        <v>1.7846069708251824</v>
      </c>
      <c r="C9" s="9">
        <f>Balance_Sheet!C8 / Balance_Sheet!C24</f>
        <v>1.7691672507657299</v>
      </c>
      <c r="D9" s="9">
        <f>Balance_Sheet!D8 / Balance_Sheet!D24</f>
        <v>1.2749549031815206</v>
      </c>
      <c r="E9" s="9">
        <f>Balance_Sheet!E8 / Balance_Sheet!E24</f>
        <v>1.3534464445042416</v>
      </c>
      <c r="F9" s="9">
        <f>Balance_Sheet!F8 / Balance_Sheet!F24</f>
        <v>1.2303272619576484</v>
      </c>
    </row>
    <row r="10" spans="1:6" s="1" customFormat="1" x14ac:dyDescent="0.2">
      <c r="A10" s="11" t="s">
        <v>114</v>
      </c>
      <c r="B10" s="8">
        <f>(Balance_Sheet!B8-Balance_Sheet!B6)/ Balance_Sheet!B24</f>
        <v>1.7452514671546664</v>
      </c>
      <c r="C10" s="8">
        <f>(Balance_Sheet!C8-Balance_Sheet!C6)/ Balance_Sheet!C24</f>
        <v>1.7451631796752729</v>
      </c>
      <c r="D10" s="8">
        <f>(Balance_Sheet!D8-Balance_Sheet!D6)/ Balance_Sheet!D24</f>
        <v>1.2650096579027186</v>
      </c>
      <c r="E10" s="8">
        <f>(Balance_Sheet!E8-Balance_Sheet!E6)/ Balance_Sheet!E24</f>
        <v>1.3468042317551587</v>
      </c>
      <c r="F10" s="8">
        <f>(Balance_Sheet!F8-Balance_Sheet!F6)/ Balance_Sheet!F24</f>
        <v>1.2220524211461572</v>
      </c>
    </row>
    <row r="11" spans="1:6" s="1" customFormat="1" x14ac:dyDescent="0.2">
      <c r="A11" s="11" t="s">
        <v>115</v>
      </c>
      <c r="B11" s="7">
        <f>Balance_Sheet!B18 +Balance_Sheet!B25+Balance_Sheet!B19</f>
        <v>49781</v>
      </c>
      <c r="C11" s="7">
        <f>Balance_Sheet!C18 +Balance_Sheet!C25+Balance_Sheet!C19</f>
        <v>47237</v>
      </c>
      <c r="D11" s="7">
        <f>Balance_Sheet!D18 +Balance_Sheet!D25+Balance_Sheet!D19</f>
        <v>51630</v>
      </c>
      <c r="E11" s="7">
        <f>Balance_Sheet!E18 +Balance_Sheet!E25+Balance_Sheet!E19</f>
        <v>43151</v>
      </c>
      <c r="F11" s="7">
        <f>Balance_Sheet!F18 +Balance_Sheet!F25+Balance_Sheet!F19</f>
        <v>40294</v>
      </c>
    </row>
    <row r="12" spans="1:6" s="1" customFormat="1" x14ac:dyDescent="0.2">
      <c r="A12" s="11" t="s">
        <v>41</v>
      </c>
      <c r="B12" s="9">
        <f>B11/Balance_Sheet!B36</f>
        <v>0.29890958436910808</v>
      </c>
      <c r="C12" s="9">
        <f>C11/Balance_Sheet!C36</f>
        <v>0.2290578645446919</v>
      </c>
      <c r="D12" s="9">
        <f>D11/Balance_Sheet!D36</f>
        <v>0.19230697601656752</v>
      </c>
      <c r="E12" s="9">
        <f>E11/Balance_Sheet!E36</f>
        <v>0.12562922332951942</v>
      </c>
      <c r="F12" s="9">
        <f>F11/Balance_Sheet!F36</f>
        <v>9.1083146656660341E-2</v>
      </c>
    </row>
    <row r="13" spans="1:6" s="1" customFormat="1" x14ac:dyDescent="0.2">
      <c r="A13" s="11" t="s">
        <v>137</v>
      </c>
      <c r="B13" s="9">
        <f>B11/B7</f>
        <v>0.50878448126079534</v>
      </c>
      <c r="C13" s="9">
        <f t="shared" ref="C13:F13" si="0">C11/C7</f>
        <v>0.46137091733083296</v>
      </c>
      <c r="D13" s="9">
        <f t="shared" si="0"/>
        <v>0.39196781050713636</v>
      </c>
      <c r="E13" s="9">
        <f t="shared" si="0"/>
        <v>0.27317502421483786</v>
      </c>
      <c r="F13" s="9">
        <f t="shared" si="0"/>
        <v>0.2079464935413452</v>
      </c>
    </row>
    <row r="14" spans="1:6" s="1" customFormat="1" x14ac:dyDescent="0.2">
      <c r="A14" s="11" t="s">
        <v>116</v>
      </c>
      <c r="B14" s="7">
        <f>B11 - Balance_Sheet!B3</f>
        <v>35850</v>
      </c>
      <c r="C14" s="7">
        <f>C11 - Balance_Sheet!C3</f>
        <v>12533</v>
      </c>
      <c r="D14" s="7">
        <f>D11 - Balance_Sheet!D3</f>
        <v>33315</v>
      </c>
      <c r="E14" s="7">
        <f>E11 - Balance_Sheet!E3</f>
        <v>12909</v>
      </c>
      <c r="F14" s="7">
        <f>F11 - Balance_Sheet!F3</f>
        <v>19359</v>
      </c>
    </row>
    <row r="15" spans="1:6" s="1" customFormat="1" x14ac:dyDescent="0.2">
      <c r="A15" s="11" t="s">
        <v>138</v>
      </c>
      <c r="B15" s="9">
        <f>B14/B7</f>
        <v>0.36640331960385514</v>
      </c>
      <c r="C15" s="9">
        <f t="shared" ref="C15:F15" si="1">C14/C7</f>
        <v>0.12241170495389905</v>
      </c>
      <c r="D15" s="9">
        <f t="shared" si="1"/>
        <v>0.25292286668691161</v>
      </c>
      <c r="E15" s="9">
        <f t="shared" si="1"/>
        <v>8.1722703705344985E-2</v>
      </c>
      <c r="F15" s="9">
        <f t="shared" si="1"/>
        <v>9.9906590769516593E-2</v>
      </c>
    </row>
    <row r="16" spans="1:6" s="1" customFormat="1" x14ac:dyDescent="0.2">
      <c r="A16" s="11" t="s">
        <v>117</v>
      </c>
      <c r="B16" s="7">
        <f>Balance_Sheet!B5+Balance_Sheet!B6 - Balance_Sheet!B17</f>
        <v>29003</v>
      </c>
      <c r="C16" s="7">
        <f>Balance_Sheet!C5+Balance_Sheet!C6 - Balance_Sheet!C17</f>
        <v>33093</v>
      </c>
      <c r="D16" s="7">
        <f>Balance_Sheet!D5+Balance_Sheet!D6 - Balance_Sheet!D17</f>
        <v>36174</v>
      </c>
      <c r="E16" s="7">
        <f>Balance_Sheet!E5+Balance_Sheet!E6 - Balance_Sheet!E17</f>
        <v>43119</v>
      </c>
      <c r="F16" s="7">
        <f>Balance_Sheet!F5+Balance_Sheet!F6 - Balance_Sheet!F17</f>
        <v>39857</v>
      </c>
    </row>
    <row r="17" spans="1:6" s="1" customFormat="1" x14ac:dyDescent="0.2">
      <c r="A17" s="11" t="s">
        <v>45</v>
      </c>
      <c r="B17" s="1" t="s">
        <v>119</v>
      </c>
      <c r="C17" s="10">
        <f>((Balance_Sheet!C5 - Balance_Sheet!B5)/Balance_Sheet!B5)* 100</f>
        <v>10.002033392828903</v>
      </c>
      <c r="D17" s="10">
        <f>((Balance_Sheet!D5 - Balance_Sheet!C5)/Balance_Sheet!C5)* 100</f>
        <v>16.915872494249097</v>
      </c>
      <c r="E17" s="10">
        <f>((Balance_Sheet!E5 - Balance_Sheet!D5)/Balance_Sheet!D5)* 100</f>
        <v>22.804089663410863</v>
      </c>
      <c r="F17" s="10">
        <f>((Balance_Sheet!F5 - Balance_Sheet!E5)/Balance_Sheet!E5)* 100</f>
        <v>15.694156355053288</v>
      </c>
    </row>
    <row r="18" spans="1:6" s="1" customFormat="1" x14ac:dyDescent="0.2">
      <c r="A18" s="11" t="s">
        <v>46</v>
      </c>
      <c r="B18" s="1" t="s">
        <v>119</v>
      </c>
      <c r="C18" s="10">
        <f>((Balance_Sheet!C6 - Balance_Sheet!B6)/Balance_Sheet!B6) * 100</f>
        <v>-33.190807055050776</v>
      </c>
      <c r="D18" s="10">
        <f>((Balance_Sheet!D6 - Balance_Sheet!C6)/Balance_Sheet!C6) * 100</f>
        <v>-50.160000000000004</v>
      </c>
      <c r="E18" s="10">
        <f>((Balance_Sheet!E6 - Balance_Sheet!D6)/Balance_Sheet!D6) * 100</f>
        <v>-24.719101123595504</v>
      </c>
      <c r="F18" s="10">
        <f>((Balance_Sheet!F6 - Balance_Sheet!E6)/Balance_Sheet!E6) * 100</f>
        <v>48.933901918976545</v>
      </c>
    </row>
    <row r="19" spans="1:6" s="1" customFormat="1" x14ac:dyDescent="0.2">
      <c r="A19" s="11" t="s">
        <v>47</v>
      </c>
      <c r="B19" s="1" t="s">
        <v>119</v>
      </c>
      <c r="C19" s="10">
        <f>((Balance_Sheet!C17 - Balance_Sheet!B17) / Balance_Sheet!B17) * 100</f>
        <v>-4.7631578947368425</v>
      </c>
      <c r="D19" s="10">
        <f>((Balance_Sheet!D17 - Balance_Sheet!C17) / Balance_Sheet!C17) * 100</f>
        <v>21.558441558441558</v>
      </c>
      <c r="E19" s="10">
        <f>((Balance_Sheet!E17 - Balance_Sheet!D17) / Balance_Sheet!D17) * 100</f>
        <v>26.041098381523913</v>
      </c>
      <c r="F19" s="10">
        <f>((Balance_Sheet!F17 - Balance_Sheet!E17) / Balance_Sheet!E17) * 100</f>
        <v>52.993795989034773</v>
      </c>
    </row>
    <row r="20" spans="1:6" s="1" customFormat="1" x14ac:dyDescent="0.2">
      <c r="A20" s="11" t="s">
        <v>42</v>
      </c>
      <c r="B20" s="7">
        <f>Cash_Flow!B17 + Cash_Flow!B19</f>
        <v>65149</v>
      </c>
      <c r="C20" s="7">
        <f>Cash_Flow!C17 + Cash_Flow!C19</f>
        <v>59475</v>
      </c>
      <c r="D20" s="7">
        <f>Cash_Flow!D17 + Cash_Flow!D19</f>
        <v>74071</v>
      </c>
      <c r="E20" s="7">
        <f>Cash_Flow!E17 + Cash_Flow!E19</f>
        <v>71611</v>
      </c>
      <c r="F20" s="7">
        <f>Cash_Flow!F17 + Cash_Flow!F19</f>
        <v>66987</v>
      </c>
    </row>
    <row r="21" spans="1:6" s="1" customFormat="1" x14ac:dyDescent="0.2">
      <c r="A21" s="11" t="s">
        <v>43</v>
      </c>
      <c r="B21" s="10">
        <f>(B20/Income_Statement!B3) * 100</f>
        <v>32.858727997175571</v>
      </c>
      <c r="C21" s="10">
        <f>(C20/Income_Statement!C3) * 100</f>
        <v>28.06549795908737</v>
      </c>
      <c r="D21" s="10">
        <f>(D20/Income_Statement!D3) * 100</f>
        <v>30.218013886962407</v>
      </c>
      <c r="E21" s="10">
        <f>(E20/Income_Statement!E3) * 100</f>
        <v>25.418849654271558</v>
      </c>
      <c r="F21" s="10">
        <f>(F20/Income_Statement!F3) * 100</f>
        <v>20.18659651216403</v>
      </c>
    </row>
    <row r="22" spans="1:6" s="1" customFormat="1" x14ac:dyDescent="0.2">
      <c r="A22" s="11" t="s">
        <v>44</v>
      </c>
      <c r="B22" s="10">
        <f>(B20/Income_Statement!B13) * 100</f>
        <v>89.566663917072233</v>
      </c>
      <c r="C22" s="10">
        <f>(C20/Income_Statement!C13) * 100</f>
        <v>82.1920647862799</v>
      </c>
      <c r="D22" s="10">
        <f>(D20/Income_Statement!D13) * 100</f>
        <v>84.041708269038764</v>
      </c>
      <c r="E22" s="10">
        <f>(E20/Income_Statement!E13) * 100</f>
        <v>70.322688349438295</v>
      </c>
      <c r="F22" s="10">
        <f>(F20/Income_Statement!F13) * 100</f>
        <v>50.084112778413292</v>
      </c>
    </row>
    <row r="23" spans="1:6" s="1" customFormat="1" x14ac:dyDescent="0.2">
      <c r="A23" s="11" t="s">
        <v>118</v>
      </c>
      <c r="B23" s="10">
        <f>(Cash_Flow!B19/Income_Statement!B3) * 100*(-1)</f>
        <v>12.047208352246935</v>
      </c>
      <c r="C23" s="10">
        <f>(Cash_Flow!C19/Income_Statement!C3) * 100*(-1)</f>
        <v>13.263336715192411</v>
      </c>
      <c r="D23" s="10">
        <f>(Cash_Flow!D19/Income_Statement!D3) * 100*(-1)</f>
        <v>18.144842160230414</v>
      </c>
      <c r="E23" s="10">
        <f>(Cash_Flow!E19/Income_Statement!E3) * 100*(-1)</f>
        <v>22.912850875324786</v>
      </c>
      <c r="F23" s="10">
        <f>(Cash_Flow!F19/Income_Statement!F3) * 100*(-1)</f>
        <v>34.941040685392615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8373-4580-C94D-A1E5-08D577C4AAC1}">
  <dimension ref="A1:G10"/>
  <sheetViews>
    <sheetView topLeftCell="A3" zoomScale="108" workbookViewId="0">
      <selection activeCell="D2" sqref="D2"/>
    </sheetView>
  </sheetViews>
  <sheetFormatPr baseColWidth="10" defaultRowHeight="16" x14ac:dyDescent="0.2"/>
  <cols>
    <col min="1" max="1" width="25.1640625" customWidth="1"/>
    <col min="2" max="2" width="17.6640625" customWidth="1"/>
    <col min="3" max="3" width="13.1640625" customWidth="1"/>
    <col min="4" max="4" width="23" customWidth="1"/>
    <col min="5" max="5" width="12.33203125" customWidth="1"/>
    <col min="6" max="6" width="13.6640625" customWidth="1"/>
    <col min="7" max="7" width="24.33203125" customWidth="1"/>
  </cols>
  <sheetData>
    <row r="1" spans="1:7" s="1" customFormat="1" x14ac:dyDescent="0.2">
      <c r="A1" s="3" t="s">
        <v>48</v>
      </c>
      <c r="B1" s="3" t="s">
        <v>36</v>
      </c>
      <c r="C1" s="3" t="s">
        <v>49</v>
      </c>
      <c r="D1" s="3" t="s">
        <v>148</v>
      </c>
      <c r="E1" s="3" t="s">
        <v>50</v>
      </c>
      <c r="F1" s="3" t="s">
        <v>51</v>
      </c>
      <c r="G1" s="3" t="s">
        <v>120</v>
      </c>
    </row>
    <row r="2" spans="1:7" x14ac:dyDescent="0.2">
      <c r="A2" s="2"/>
    </row>
    <row r="3" spans="1:7" s="1" customFormat="1" ht="51" x14ac:dyDescent="0.2">
      <c r="A3" s="11" t="s">
        <v>52</v>
      </c>
      <c r="B3" s="11" t="s">
        <v>37</v>
      </c>
      <c r="C3" s="9">
        <f>Analysis!F3</f>
        <v>17.788686799846658</v>
      </c>
      <c r="D3" s="9">
        <f>Analysis!E3</f>
        <v>14.932156232406721</v>
      </c>
      <c r="E3" s="9">
        <f t="shared" ref="E3:E10" si="0">C3 - D3</f>
        <v>2.8565305674399379</v>
      </c>
      <c r="F3" s="1" t="str">
        <f>IF(ABS(E3)&gt;=10,"High",IF(ABS(E3)&gt;=5,"Medium","Low"))</f>
        <v>Low</v>
      </c>
      <c r="G3" s="13" t="s">
        <v>121</v>
      </c>
    </row>
    <row r="4" spans="1:7" s="1" customFormat="1" ht="51" x14ac:dyDescent="0.2">
      <c r="A4" s="11" t="s">
        <v>53</v>
      </c>
      <c r="B4" s="11" t="s">
        <v>38</v>
      </c>
      <c r="C4" s="9">
        <f>Analysis!F5</f>
        <v>67.944093370580319</v>
      </c>
      <c r="D4" s="9">
        <f>Analysis!E5</f>
        <v>68.823742386165193</v>
      </c>
      <c r="E4" s="9">
        <f t="shared" si="0"/>
        <v>-0.87964901558487441</v>
      </c>
      <c r="F4" s="1" t="str">
        <f>IF(ABS(E4)&gt;=3,"High",IF(ABS(E4)&gt;=1,"Medium","Low"))</f>
        <v>Low</v>
      </c>
      <c r="G4" s="13" t="s">
        <v>122</v>
      </c>
    </row>
    <row r="5" spans="1:7" s="1" customFormat="1" ht="51" x14ac:dyDescent="0.2">
      <c r="A5" s="11" t="s">
        <v>54</v>
      </c>
      <c r="B5" s="11" t="s">
        <v>45</v>
      </c>
      <c r="C5" s="9">
        <f>Analysis!F17</f>
        <v>15.694156355053288</v>
      </c>
      <c r="D5" s="9">
        <f>Analysis!E17</f>
        <v>22.804089663410863</v>
      </c>
      <c r="E5" s="9">
        <f t="shared" si="0"/>
        <v>-7.1099333083575758</v>
      </c>
      <c r="F5" s="1" t="str">
        <f>IF(ABS(E5)&gt;=15,"High",IF(ABS(E5)&gt;=7.5,"Medium","Low"))</f>
        <v>Low</v>
      </c>
      <c r="G5" s="13" t="s">
        <v>123</v>
      </c>
    </row>
    <row r="6" spans="1:7" s="1" customFormat="1" ht="68" x14ac:dyDescent="0.2">
      <c r="A6" s="11" t="s">
        <v>55</v>
      </c>
      <c r="B6" s="11" t="s">
        <v>44</v>
      </c>
      <c r="C6" s="9">
        <f>Analysis!F22</f>
        <v>50.084112778413292</v>
      </c>
      <c r="D6" s="9">
        <f>Analysis!E22</f>
        <v>70.322688349438295</v>
      </c>
      <c r="E6" s="9">
        <f t="shared" si="0"/>
        <v>-20.238575571025002</v>
      </c>
      <c r="F6" s="1" t="str">
        <f>IF(ABS(E6)&gt;=15,"High",IF(ABS(E6)&gt;=7.5,"Medium","Low"))</f>
        <v>High</v>
      </c>
      <c r="G6" s="13" t="s">
        <v>124</v>
      </c>
    </row>
    <row r="7" spans="1:7" s="1" customFormat="1" ht="68" x14ac:dyDescent="0.2">
      <c r="A7" s="11" t="s">
        <v>56</v>
      </c>
      <c r="B7" s="11" t="s">
        <v>147</v>
      </c>
      <c r="C7" s="9">
        <f>Analysis!F13</f>
        <v>0.2079464935413452</v>
      </c>
      <c r="D7" s="9">
        <f>Analysis!E13</f>
        <v>0.27317502421483786</v>
      </c>
      <c r="E7" s="9">
        <f t="shared" si="0"/>
        <v>-6.5228530673492657E-2</v>
      </c>
      <c r="F7" s="1" t="str">
        <f>IF(ABS(E7)&gt;=1,"High",IF(ABS(E7)&gt;=0.5,"Medium","Low"))</f>
        <v>Low</v>
      </c>
      <c r="G7" s="13" t="s">
        <v>125</v>
      </c>
    </row>
    <row r="8" spans="1:7" s="12" customFormat="1" ht="85" x14ac:dyDescent="0.2">
      <c r="A8" s="12" t="s">
        <v>139</v>
      </c>
      <c r="B8" s="12" t="s">
        <v>140</v>
      </c>
      <c r="C8" s="14">
        <f>Analysis!F4</f>
        <v>31.34279990572708</v>
      </c>
      <c r="D8" s="14">
        <f>((Analysis!F20 - Analysis!E20) / Analysis!E20) * 100</f>
        <v>-6.4571085447766405</v>
      </c>
      <c r="E8" s="14">
        <f t="shared" si="0"/>
        <v>37.799908450503722</v>
      </c>
      <c r="F8" s="13" t="str">
        <f>IF(ABS(E8)&gt;=20,"High",IF(ABS(E8)&gt;=10,"Medium","Low"))</f>
        <v>High</v>
      </c>
      <c r="G8" s="13" t="s">
        <v>144</v>
      </c>
    </row>
    <row r="9" spans="1:7" s="12" customFormat="1" ht="68" x14ac:dyDescent="0.2">
      <c r="A9" s="12" t="s">
        <v>141</v>
      </c>
      <c r="B9" s="12" t="s">
        <v>118</v>
      </c>
      <c r="C9" s="14">
        <f>Analysis!F23</f>
        <v>34.941040685392615</v>
      </c>
      <c r="D9" s="14">
        <f>Analysis!E23</f>
        <v>22.912850875324786</v>
      </c>
      <c r="E9" s="14">
        <f t="shared" si="0"/>
        <v>12.028189810067829</v>
      </c>
      <c r="F9" s="13" t="str">
        <f>IF(ABS(E9)&gt;=10,"High",IF(ABS(E9)&gt;=5,"Medium","Low"))</f>
        <v>High</v>
      </c>
      <c r="G9" s="13" t="s">
        <v>145</v>
      </c>
    </row>
    <row r="10" spans="1:7" s="12" customFormat="1" ht="51" x14ac:dyDescent="0.2">
      <c r="A10" s="12" t="s">
        <v>142</v>
      </c>
      <c r="B10" s="12" t="s">
        <v>143</v>
      </c>
      <c r="C10" s="14">
        <f>Analysis!F17</f>
        <v>15.694156355053288</v>
      </c>
      <c r="D10" s="14">
        <f>Analysis!F3</f>
        <v>17.788686799846658</v>
      </c>
      <c r="E10" s="14">
        <f t="shared" si="0"/>
        <v>-2.0945304447933708</v>
      </c>
      <c r="F10" s="13" t="str">
        <f>IF(E10&gt;10,"High",IF(E10&gt;5,"Medium","Low"))</f>
        <v>Low</v>
      </c>
      <c r="G10" s="13" t="s">
        <v>146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77E3-FBDD-F74B-BD51-9FC2A8F6A1C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4DA6-2EA2-A948-B386-B41C68E1668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Income_Statement</vt:lpstr>
      <vt:lpstr>Balance_Sheet</vt:lpstr>
      <vt:lpstr>Cash_Flow</vt:lpstr>
      <vt:lpstr>Analysis</vt:lpstr>
      <vt:lpstr>Findings</vt:lpstr>
      <vt:lpstr>DCF</vt:lpstr>
      <vt:lpstr>Company_Input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2026-09-05T19:24:38Z</dcterms:created>
  <dcterms:modified xsi:type="dcterms:W3CDTF">2026-09-07T12:17:21Z</dcterms:modified>
</cp:coreProperties>
</file>